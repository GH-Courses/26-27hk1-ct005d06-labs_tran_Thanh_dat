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4"/>
  </bookViews>
  <sheets>
    <sheet name="Tonghopdiem" sheetId="1" r:id="rId1"/>
    <sheet name="Diemthuchanh" sheetId="2" r:id="rId2"/>
    <sheet name="baitaplon" sheetId="3" r:id="rId3"/>
    <sheet name="Diemlythuyet" sheetId="4" r:id="rId4"/>
    <sheet name="thamchieuvathongke" sheetId="5" r:id="rId5"/>
    <sheet name="Sinh viên điểm &lt; 7" sheetId="6" r:id="rId6"/>
    <sheet name="Sinh viên điểm &gt;= 7." sheetId="7" r:id="rId7"/>
  </sheets>
  <externalReferences>
    <externalReference r:id="rId8"/>
  </externalReferences>
  <definedNames>
    <definedName name="_xlnm._FilterDatabase" localSheetId="0" hidden="1">Tonghopdiem!$A$6:$K$20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<sst xmlns="http://schemas.openxmlformats.org/spreadsheetml/2006/main" count="261" uniqueCount="94">
  <si>
    <t>ĐIỂM THI HK1-2018-2019 (CT428)</t>
  </si>
  <si>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</si>
  <si>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</si>
  <si>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</si>
  <si>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</si>
  <si>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</si>
  <si>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</si>
  <si>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</si>
  <si>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</si>
  <si>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</si>
  <si>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>STT</t>
  </si>
  <si>
    <t>Mã SV</t>
  </si>
  <si>
    <t>Họ và Tên</t>
  </si>
  <si>
    <t xml:space="preserve">Điểm
TH 1 </t>
  </si>
  <si>
    <t>Điểm
TH 2</t>
  </si>
  <si>
    <t>Điểm
TH 3</t>
  </si>
  <si>
    <t>Điểm
BT
lớn</t>
  </si>
  <si>
    <t>Điểm
LT</t>
  </si>
  <si>
    <t>Điểm
tổng</t>
  </si>
  <si>
    <t>Điểm
theo
thang
điểm
10</t>
  </si>
  <si>
    <t>Điểm
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</si>
  <si>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</si>
  <si>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</si>
  <si>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</si>
  <si>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</si>
  <si>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</si>
  <si>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</si>
  <si>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</si>
  <si>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0B1605285</t>
  </si>
  <si>
    <t>0B1605291</t>
  </si>
  <si>
    <t>1B1605344</t>
  </si>
  <si>
    <t>4B1607025</t>
  </si>
  <si>
    <t>2B1609759</t>
  </si>
  <si>
    <t>5B1609765</t>
  </si>
  <si>
    <t>0B1609773</t>
  </si>
  <si>
    <t>Điểm thực hành các buổi</t>
  </si>
  <si>
    <t>Họ và tên</t>
  </si>
  <si>
    <t>Điểm TH 1</t>
  </si>
  <si>
    <t>Điểm TH 2</t>
  </si>
  <si>
    <t>Điểm TH 3</t>
  </si>
  <si>
    <t>B1505719</t>
  </si>
  <si>
    <t>Nguyễn Văn Hiếu</t>
  </si>
  <si>
    <t>B1505915</t>
  </si>
  <si>
    <t>Lý Minh Trí</t>
  </si>
  <si>
    <t>B1509874</t>
  </si>
  <si>
    <t>Nguyễn Kiều Mi</t>
  </si>
  <si>
    <t>B1509929</t>
  </si>
  <si>
    <t>Đặng Duy Linh</t>
  </si>
  <si>
    <t>B1605223</t>
  </si>
  <si>
    <t>Lê Thị Trúc Linh</t>
  </si>
  <si>
    <t>B1605235</t>
  </si>
  <si>
    <t>Phạm Thị Huỳnh</t>
  </si>
  <si>
    <t>B1605249</t>
  </si>
  <si>
    <t>Lê Minh Thông</t>
  </si>
  <si>
    <t>B1605285</t>
  </si>
  <si>
    <t>Huỳnh Thị Diễm</t>
  </si>
  <si>
    <t>B1605291</t>
  </si>
  <si>
    <t>Trần Thanh Nguyên</t>
  </si>
  <si>
    <t>B1605344</t>
  </si>
  <si>
    <t>Nguyễn Thị Đào</t>
  </si>
  <si>
    <t>B1607025</t>
  </si>
  <si>
    <t>Nguyễn Chí Thanh</t>
  </si>
  <si>
    <t>B1609759</t>
  </si>
  <si>
    <t>Nguyễn Hải Anh</t>
  </si>
  <si>
    <t>B1609765</t>
  </si>
  <si>
    <t>Trần Nam Dương</t>
  </si>
  <si>
    <t>B1609773</t>
  </si>
  <si>
    <t>Nguyễn Duy Khanh</t>
  </si>
  <si>
    <t>Điểm bài tập lớn</t>
  </si>
  <si>
    <t xml:space="preserve">Họ và Tên </t>
  </si>
  <si>
    <t xml:space="preserve">Điểm BL lớn </t>
  </si>
  <si>
    <t>Điểm lý thuyết</t>
  </si>
  <si>
    <t xml:space="preserve">Diểm lý thuyết </t>
  </si>
  <si>
    <t>Bảng quy đổi điểm</t>
  </si>
  <si>
    <t>Bảng Điểm Chuyên cần</t>
  </si>
  <si>
    <t>Điểm theo thang điểm 10</t>
  </si>
  <si>
    <t>Điểm chữ</t>
  </si>
  <si>
    <t>Điểm theo thang điểm 4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</si>
  <si>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</si>
  <si>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</si>
  <si>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</si>
  <si>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</si>
  <si>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</si>
  <si>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</si>
  <si>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</si>
  <si>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</si>
  <si>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</si>
  <si>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</si>
  <si>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Danh sách Sinh viên</t>
  </si>
  <si>
    <t>Bảng thống kê theo điểm chữ</t>
  </si>
  <si>
    <t>Số lượng sinh
viên</t>
  </si>
  <si>
    <t>Bảng thống kê SV</t>
  </si>
  <si>
    <t>Số sinh viên điểm BT
lớn = 0 hoặc điểm LT
= -3</t>
  </si>
  <si>
    <t>Số SV nghỉ TH &gt;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</si>
</sst>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5"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3"/>
      <color theme="8" tint="-0.499984740745262"/>
      <name val="Times New Roman"/>
      <charset val="134"/>
    </font>
    <font>
      <sz val="13"/>
      <color theme="8" tint="-0.499984740745262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9B3C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11" applyNumberFormat="0" applyAlignment="0" applyProtection="0">
      <alignment vertical="center"/>
    </xf>
    <xf numFmtId="0" fontId="15" fillId="9" borderId="12" applyNumberFormat="0" applyAlignment="0" applyProtection="0">
      <alignment vertical="center"/>
    </xf>
    <xf numFmtId="0" fontId="16" fillId="9" borderId="11" applyNumberFormat="0" applyAlignment="0" applyProtection="0">
      <alignment vertical="center"/>
    </xf>
    <xf numFmtId="0" fontId="17" fillId="10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textRotation="255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 wrapText="1"/>
    </xf>
    <xf numFmtId="0" fontId="1" fillId="0" borderId="5" xfId="0" applyFont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0" fillId="4" borderId="7" xfId="0" applyFill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0" fillId="4" borderId="1" xfId="0" applyFill="1" applyBorder="1"/>
    <xf numFmtId="0" fontId="1" fillId="5" borderId="0" xfId="0" applyFont="1" applyFill="1" applyAlignment="1">
      <alignment horizontal="center"/>
    </xf>
    <xf numFmtId="0" fontId="1" fillId="5" borderId="1" xfId="0" applyFont="1" applyFill="1" applyBorder="1"/>
    <xf numFmtId="0" fontId="1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0" fillId="0" borderId="6" xfId="0" applyFill="1" applyBorder="1"/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 textRotation="255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9B3C2"/>
      <color rgb="00EEBE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THỐNG KÊ SỐ LƯỢNG SINH VIÊN THEO ĐIỂM CHỮ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plotArea>
      <c:layout/>
      <c:pie3DChart>
        <c:varyColors val="1"/>
        <c:ser>
          <c:idx val="0"/>
          <c:order val="0"/>
          <c:tx>
            <c:strRef>
              <c:f>thamchieuvathongke!$F$13</c:f>
              <c:strCache>
                <c:ptCount val="1"/>
                <c:pt idx="0">
                  <c:v>Số lượng sinh
viên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GB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GB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GB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GB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GB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GB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GB"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GB"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thamchieuvathongke!$E$14:$E$21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thamchieuvathongke!$F$14:$F$21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198120</xdr:colOff>
      <xdr:row>7</xdr:row>
      <xdr:rowOff>182245</xdr:rowOff>
    </xdr:from>
    <xdr:to>
      <xdr:col>14</xdr:col>
      <xdr:colOff>219710</xdr:colOff>
      <xdr:row>23</xdr:row>
      <xdr:rowOff>88900</xdr:rowOff>
    </xdr:to>
    <xdr:graphicFrame>
      <xdr:nvGraphicFramePr>
        <xdr:cNvPr id="4" name="Chart 3"/>
        <xdr:cNvGraphicFramePr/>
      </xdr:nvGraphicFramePr>
      <xdr:xfrm>
        <a:off x="8737600" y="1675765"/>
        <a:ext cx="5302250" cy="35547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ab3_Ex1_Gi&#7843;ngTh&#224;nhHuy.microsoftexcel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ổng hợp điểm"/>
      <sheetName val="Điểm thực hành"/>
      <sheetName val="Điểm bài tập lớn"/>
      <sheetName val="Điểm lý thuyết"/>
      <sheetName val="Thống kê"/>
      <sheetName val="Sinh viên điểm &lt; 7"/>
      <sheetName val="Sinh viên điểm &gt;= 7"/>
    </sheetNames>
    <sheetDataSet>
      <sheetData sheetId="0"/>
      <sheetData sheetId="1"/>
      <sheetData sheetId="2"/>
      <sheetData sheetId="3"/>
      <sheetData sheetId="4">
        <row r="13">
          <cell r="F13" t="str">
            <v>Số lượng sinh viên</v>
          </cell>
        </row>
        <row r="14">
          <cell r="E14" t="str">
            <v>A</v>
          </cell>
          <cell r="F14">
            <v>0</v>
          </cell>
        </row>
        <row r="15">
          <cell r="E15" t="str">
            <v>B+</v>
          </cell>
          <cell r="F15">
            <v>1</v>
          </cell>
        </row>
        <row r="16">
          <cell r="E16" t="str">
            <v>B</v>
          </cell>
          <cell r="F16">
            <v>2</v>
          </cell>
        </row>
        <row r="17">
          <cell r="E17" t="str">
            <v>C+</v>
          </cell>
          <cell r="F17">
            <v>2</v>
          </cell>
        </row>
        <row r="18">
          <cell r="E18" t="str">
            <v>C</v>
          </cell>
          <cell r="F18">
            <v>5</v>
          </cell>
        </row>
        <row r="19">
          <cell r="E19" t="str">
            <v>D+</v>
          </cell>
          <cell r="F19">
            <v>1</v>
          </cell>
        </row>
        <row r="20">
          <cell r="E20" t="str">
            <v>D</v>
          </cell>
          <cell r="F20">
            <v>0</v>
          </cell>
        </row>
        <row r="21">
          <cell r="E21" t="str">
            <v>F</v>
          </cell>
          <cell r="F21">
            <v>3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zoomScale="80" zoomScaleNormal="80" topLeftCell="A4" workbookViewId="0">
      <pane xSplit="3" ySplit="9" topLeftCell="D13" activePane="bottomRight" state="frozen"/>
      <selection/>
      <selection pane="topRight"/>
      <selection pane="bottomLeft"/>
      <selection pane="bottomRight" activeCell="G7" sqref="G7"/>
    </sheetView>
  </sheetViews>
  <sheetFormatPr defaultColWidth="9" defaultRowHeight="16.8"/>
  <cols>
    <col min="2" max="2" width="14" customWidth="1"/>
    <col min="3" max="3" width="18.5530303030303" customWidth="1"/>
    <col min="4" max="4" width="9.10606060606061" customWidth="1"/>
  </cols>
  <sheetData>
    <row r="1" spans="2:8">
      <c r="B1" s="38" t="s">
        <v>0</v>
      </c>
      <c r="C1" s="39"/>
      <c r="D1" s="39"/>
      <c r="E1" s="39"/>
      <c r="F1" s="39"/>
      <c r="G1" s="39"/>
      <c r="H1" s="39"/>
    </row>
    <row r="2" spans="2:8">
      <c r="B2" s="5" t="s">
        <v>1</v>
      </c>
      <c r="C2" s="5">
        <v>1043</v>
      </c>
      <c r="D2" s="40" t="s">
        <v>2</v>
      </c>
      <c r="E2" s="40"/>
      <c r="F2" s="40" t="s">
        <v>3</v>
      </c>
      <c r="G2" s="40"/>
      <c r="H2" s="40"/>
    </row>
    <row r="3" spans="2:8">
      <c r="B3" s="5" t="s">
        <v>4</v>
      </c>
      <c r="C3" s="5" t="s">
        <v>5</v>
      </c>
      <c r="D3" s="40" t="s">
        <v>6</v>
      </c>
      <c r="E3" s="40"/>
      <c r="F3" s="40">
        <v>8</v>
      </c>
      <c r="G3" s="40"/>
      <c r="H3" s="40"/>
    </row>
    <row r="4" spans="2:8">
      <c r="B4" s="5" t="s">
        <v>7</v>
      </c>
      <c r="C4" s="5" t="s">
        <v>8</v>
      </c>
      <c r="D4" s="40" t="s">
        <v>9</v>
      </c>
      <c r="E4" s="40"/>
      <c r="F4" s="40">
        <v>1</v>
      </c>
      <c r="G4" s="40"/>
      <c r="H4" s="40"/>
    </row>
    <row r="6" s="37" customFormat="1" ht="82.5" customHeight="1" spans="1:11">
      <c r="A6" s="1" t="s">
        <v>10</v>
      </c>
      <c r="B6" s="2" t="s">
        <v>11</v>
      </c>
      <c r="C6" s="2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7" t="s">
        <v>18</v>
      </c>
      <c r="J6" s="3" t="s">
        <v>19</v>
      </c>
      <c r="K6" s="3" t="s">
        <v>20</v>
      </c>
    </row>
    <row r="7" spans="1:11">
      <c r="A7" s="4">
        <v>1</v>
      </c>
      <c r="B7" s="5" t="s">
        <v>21</v>
      </c>
      <c r="C7" s="6" t="str">
        <f>VLOOKUP(RIGHT(B7,8),thamchieuvathongke!$B$13:$C$27,2,0)</f>
        <v>Nguyễn Văn Hiếu</v>
      </c>
      <c r="D7" s="6">
        <f>VLOOKUP(RIGHT(B7,8),Diemthuchanh!$B$2:$F$16,3,0)</f>
        <v>0.45</v>
      </c>
      <c r="E7" s="6">
        <f>VLOOKUP(RIGHT(B7,8),Diemthuchanh!$B$2:$F$16,4,0)</f>
        <v>0.25</v>
      </c>
      <c r="F7" s="6">
        <f>VLOOKUP(RIGHT(B7,8),Diemthuchanh!$B$2:$F$16,5,0)</f>
        <v>0.3</v>
      </c>
      <c r="G7" s="6">
        <f>VLOOKUP(RIGHT(B7,8),baitaplon!$B$2:$D$16,3,0)</f>
        <v>0.5</v>
      </c>
      <c r="H7" s="6">
        <f>VLOOKUP(RIGHT(B7,8),Diemlythuyet!$B$2:$D$16,3,0)</f>
        <v>4.2</v>
      </c>
      <c r="I7" s="6">
        <f>ROUND(IF(H7=-3,0,D7+E7+F7+G7+0.6*H7),1)</f>
        <v>4</v>
      </c>
      <c r="J7" s="8">
        <f>IF(OR(G7=0,VALUE(LEFT(B7,1))&gt;2),0,ROUND(I7+VLOOKUP(VALUE(LEFT(B7,1)),thamchieuvathongke!$E$2:$F$9,2,0),1))</f>
        <v>5</v>
      </c>
      <c r="K7" s="8" t="str">
        <f>VLOOKUP(J7,thamchieuvathongke!A2:B10,2,TRUE)</f>
        <v>D+</v>
      </c>
    </row>
    <row r="8" spans="1:11">
      <c r="A8" s="4">
        <v>2</v>
      </c>
      <c r="B8" s="5" t="s">
        <v>22</v>
      </c>
      <c r="C8" s="6" t="str">
        <f>VLOOKUP(RIGHT(B8,8),thamchieuvathongke!$B$13:$C$27,2,0)</f>
        <v>Lý Minh Trí</v>
      </c>
      <c r="D8" s="6">
        <f>VLOOKUP(RIGHT(B8,8),Diemthuchanh!$B$2:$F$16,3,0)</f>
        <v>0.5</v>
      </c>
      <c r="E8" s="6">
        <f>VLOOKUP(RIGHT(B8,8),Diemthuchanh!$B$2:$F$16,4,0)</f>
        <v>0.35</v>
      </c>
      <c r="F8" s="6">
        <f>VLOOKUP(RIGHT(B8,8),Diemthuchanh!$B$2:$F$16,5,0)</f>
        <v>0.4</v>
      </c>
      <c r="G8" s="6">
        <f>VLOOKUP(RIGHT(B8,8),baitaplon!$B$2:$D$16,3,0)</f>
        <v>1</v>
      </c>
      <c r="H8" s="6">
        <f>VLOOKUP(RIGHT(B8,8),Diemlythuyet!$B$2:$D$16,3,0)</f>
        <v>5.8</v>
      </c>
      <c r="I8" s="6">
        <f t="shared" ref="I8:I20" si="0">ROUND(IF(H8=-3,0,D8+E8+F8+G8+0.6*H8),1)</f>
        <v>5.7</v>
      </c>
      <c r="J8" s="8">
        <f>IF(OR(G8=0,VALUE(LEFT(B8,1))&gt;2),0,ROUND(I8+VLOOKUP(VALUE(LEFT(B8,1)),thamchieuvathongke!$E$2:$F$9,2,0),1))</f>
        <v>6.2</v>
      </c>
      <c r="K8" s="8" t="str">
        <f>VLOOKUP(J8,thamchieuvathongke!A2:B10,2,TRUE)</f>
        <v>C</v>
      </c>
    </row>
    <row r="9" spans="1:11">
      <c r="A9" s="4">
        <v>3</v>
      </c>
      <c r="B9" s="5" t="s">
        <v>23</v>
      </c>
      <c r="C9" s="6" t="str">
        <f>VLOOKUP(RIGHT(B9,8),thamchieuvathongke!$B$13:$C$27,2,0)</f>
        <v>Nguyễn Kiều Mi</v>
      </c>
      <c r="D9" s="6">
        <f>VLOOKUP(RIGHT(B9,8),Diemthuchanh!$B$2:$F$16,3,0)</f>
        <v>0.25</v>
      </c>
      <c r="E9" s="6">
        <f>VLOOKUP(RIGHT(B9,8),Diemthuchanh!$B$2:$F$16,4,0)</f>
        <v>0.25</v>
      </c>
      <c r="F9" s="6">
        <f>VLOOKUP(RIGHT(B9,8),Diemthuchanh!$B$2:$F$16,5,0)</f>
        <v>0.3</v>
      </c>
      <c r="G9" s="6">
        <f>VLOOKUP(RIGHT(B9,8),baitaplon!$B$2:$D$16,3,0)</f>
        <v>0.5</v>
      </c>
      <c r="H9" s="6">
        <f>VLOOKUP(RIGHT(B9,8),Diemlythuyet!$B$2:$D$16,3,0)</f>
        <v>5.8</v>
      </c>
      <c r="I9" s="6">
        <f t="shared" si="0"/>
        <v>4.8</v>
      </c>
      <c r="J9" s="8">
        <f>IF(OR(G9=0,VALUE(LEFT(B9,1))&gt;2),0,ROUND(I9+VLOOKUP(VALUE(LEFT(B9,1)),thamchieuvathongke!$E$2:$F$9,2,0),1))</f>
        <v>5.8</v>
      </c>
      <c r="K9" s="8" t="str">
        <f>VLOOKUP(J9,thamchieuvathongke!A2:B10,2,TRUE)</f>
        <v>C</v>
      </c>
    </row>
    <row r="10" spans="1:11">
      <c r="A10" s="4">
        <v>4</v>
      </c>
      <c r="B10" s="5" t="s">
        <v>24</v>
      </c>
      <c r="C10" s="6" t="str">
        <f>VLOOKUP(RIGHT(B10,8),thamchieuvathongke!$B$13:$C$27,2,0)</f>
        <v>Đặng Duy Linh</v>
      </c>
      <c r="D10" s="6">
        <f>VLOOKUP(RIGHT(B10,8),Diemthuchanh!$B$2:$F$16,3,0)</f>
        <v>0.4</v>
      </c>
      <c r="E10" s="6">
        <f>VLOOKUP(RIGHT(B10,8),Diemthuchanh!$B$2:$F$16,4,0)</f>
        <v>0.25</v>
      </c>
      <c r="F10" s="6">
        <f>VLOOKUP(RIGHT(B10,8),Diemthuchanh!$B$2:$F$16,5,0)</f>
        <v>0.35</v>
      </c>
      <c r="G10" s="6">
        <f>VLOOKUP(RIGHT(B10,8),baitaplon!$B$2:$D$16,3,0)</f>
        <v>1</v>
      </c>
      <c r="H10" s="6">
        <f>VLOOKUP(RIGHT(B10,8),Diemlythuyet!$B$2:$D$16,3,0)</f>
        <v>4.5</v>
      </c>
      <c r="I10" s="6">
        <f t="shared" si="0"/>
        <v>4.7</v>
      </c>
      <c r="J10" s="8">
        <f>IF(OR(G10=0,VALUE(LEFT(B10,1))&gt;2),0,ROUND(I10+VLOOKUP(VALUE(LEFT(B10,1)),thamchieuvathongke!$E$2:$F$9,2,0),1))</f>
        <v>5.7</v>
      </c>
      <c r="K10" s="8" t="str">
        <f>VLOOKUP(J10,thamchieuvathongke!A5:B13,2,TRUE)</f>
        <v>C</v>
      </c>
    </row>
    <row r="11" spans="1:11">
      <c r="A11" s="4">
        <v>5</v>
      </c>
      <c r="B11" s="5" t="s">
        <v>25</v>
      </c>
      <c r="C11" s="6" t="str">
        <f>VLOOKUP(RIGHT(B11,8),thamchieuvathongke!$B$13:$C$27,2,0)</f>
        <v>Lê Thị Trúc Linh</v>
      </c>
      <c r="D11" s="6">
        <f>VLOOKUP(RIGHT(B11,8),Diemthuchanh!$B$2:$F$16,3,0)</f>
        <v>0.45</v>
      </c>
      <c r="E11" s="6">
        <f>VLOOKUP(RIGHT(B11,8),Diemthuchanh!$B$2:$F$16,4,0)</f>
        <v>0.4</v>
      </c>
      <c r="F11" s="6">
        <f>VLOOKUP(RIGHT(B11,8),Diemthuchanh!$B$2:$F$16,5,0)</f>
        <v>0.35</v>
      </c>
      <c r="G11" s="6">
        <f>VLOOKUP(RIGHT(B11,8),baitaplon!$B$2:$D$16,3,0)</f>
        <v>0.75</v>
      </c>
      <c r="H11" s="6">
        <f>VLOOKUP(RIGHT(B11,8),Diemlythuyet!$B$2:$D$16,3,0)</f>
        <v>5.5</v>
      </c>
      <c r="I11" s="6">
        <f t="shared" si="0"/>
        <v>5.3</v>
      </c>
      <c r="J11" s="8">
        <f>IF(OR(G11=0,VALUE(LEFT(B11,1))&gt;2),0,ROUND(I11+VLOOKUP(VALUE(LEFT(B11,1)),thamchieuvathongke!$E$2:$F$9,2,0),1))</f>
        <v>5.6</v>
      </c>
      <c r="K11" s="8" t="str">
        <f>VLOOKUP(J11,thamchieuvathongke!A6:B14,2,TRUE)</f>
        <v>C</v>
      </c>
    </row>
    <row r="12" spans="1:11">
      <c r="A12" s="4">
        <v>6</v>
      </c>
      <c r="B12" s="5" t="s">
        <v>26</v>
      </c>
      <c r="C12" s="6" t="str">
        <f>VLOOKUP(RIGHT(B12,8),thamchieuvathongke!$B$13:$C$27,2,0)</f>
        <v>Phạm Thị Huỳnh</v>
      </c>
      <c r="D12" s="6">
        <f>VLOOKUP(RIGHT(B12,8),Diemthuchanh!$B$2:$F$16,3,0)</f>
        <v>0.4</v>
      </c>
      <c r="E12" s="6">
        <f>VLOOKUP(RIGHT(B12,8),Diemthuchanh!$B$2:$F$16,4,0)</f>
        <v>0.45</v>
      </c>
      <c r="F12" s="6">
        <f>VLOOKUP(RIGHT(B12,8),Diemthuchanh!$B$2:$F$16,5,0)</f>
        <v>0.5</v>
      </c>
      <c r="G12" s="6">
        <f>VLOOKUP(RIGHT(B12,8),baitaplon!$B$2:$D$16,3,0)</f>
        <v>1.2</v>
      </c>
      <c r="H12" s="6">
        <f>VLOOKUP(RIGHT(B12,8),Diemlythuyet!$B$2:$D$16,3,0)</f>
        <v>7.5</v>
      </c>
      <c r="I12" s="6">
        <f t="shared" si="0"/>
        <v>7.1</v>
      </c>
      <c r="J12" s="8">
        <f>IF(OR(G12=0,VALUE(LEFT(B12,1))&gt;2),0,ROUND(I12+VLOOKUP(VALUE(LEFT(B12,1)),thamchieuvathongke!$E$2:$F$9,2,0),1))</f>
        <v>8.1</v>
      </c>
      <c r="K12" s="8" t="str">
        <f>VLOOKUP(J12,thamchieuvathongke!A2:B10,2,TRUE)</f>
        <v>B+</v>
      </c>
    </row>
    <row r="13" spans="1:11">
      <c r="A13" s="4">
        <v>7</v>
      </c>
      <c r="B13" s="5" t="s">
        <v>27</v>
      </c>
      <c r="C13" s="6" t="str">
        <f>VLOOKUP(RIGHT(B13,8),thamchieuvathongke!$B$13:$C$27,2,0)</f>
        <v>Lê Minh Thông</v>
      </c>
      <c r="D13" s="6">
        <f>VLOOKUP(RIGHT(B13,8),Diemthuchanh!$B$2:$F$16,3,0)</f>
        <v>0.4</v>
      </c>
      <c r="E13" s="6">
        <f>VLOOKUP(RIGHT(B13,8),Diemthuchanh!$B$2:$F$16,4,0)</f>
        <v>0.4</v>
      </c>
      <c r="F13" s="6">
        <f>VLOOKUP(RIGHT(B13,8),Diemthuchanh!$B$2:$F$16,5,0)</f>
        <v>0.4</v>
      </c>
      <c r="G13" s="6">
        <f>VLOOKUP(RIGHT(B13,8),baitaplon!$B$2:$D$16,3,0)</f>
        <v>1</v>
      </c>
      <c r="H13" s="6">
        <f>VLOOKUP(RIGHT(B13,8),Diemlythuyet!$B$2:$D$16,3,0)</f>
        <v>5.3</v>
      </c>
      <c r="I13" s="6">
        <f t="shared" si="0"/>
        <v>5.4</v>
      </c>
      <c r="J13" s="8">
        <f>IF(OR(G13=0,VALUE(LEFT(B13,1))&gt;2),0,ROUND(I13+VLOOKUP(VALUE(LEFT(B13,1)),thamchieuvathongke!$E$2:$F$9,2,0),1))</f>
        <v>6.4</v>
      </c>
      <c r="K13" s="8" t="str">
        <f>VLOOKUP(J13,thamchieuvathongke!A2:B10,2,TRUE)</f>
        <v>C</v>
      </c>
    </row>
    <row r="14" spans="1:11">
      <c r="A14" s="4">
        <v>8</v>
      </c>
      <c r="B14" s="5" t="s">
        <v>28</v>
      </c>
      <c r="C14" s="6" t="str">
        <f>VLOOKUP(RIGHT(B14,8),thamchieuvathongke!$B$13:$C$27,2,0)</f>
        <v>Huỳnh Thị Diễm</v>
      </c>
      <c r="D14" s="6">
        <f>VLOOKUP(RIGHT(B14,8),Diemthuchanh!$B$2:$F$16,3,0)</f>
        <v>0.45</v>
      </c>
      <c r="E14" s="6">
        <f>VLOOKUP(RIGHT(B14,8),Diemthuchanh!$B$2:$F$16,4,0)</f>
        <v>0.4</v>
      </c>
      <c r="F14" s="6">
        <f>VLOOKUP(RIGHT(B14,8),Diemthuchanh!$B$2:$F$16,5,0)</f>
        <v>0.45</v>
      </c>
      <c r="G14" s="6">
        <f>VLOOKUP(RIGHT(B14,8),baitaplon!$B$2:$D$16,3,0)</f>
        <v>0</v>
      </c>
      <c r="H14" s="6">
        <f>VLOOKUP(RIGHT(B14,8),Diemlythuyet!$B$2:$D$16,3,0)</f>
        <v>6.8</v>
      </c>
      <c r="I14" s="6">
        <f t="shared" si="0"/>
        <v>5.4</v>
      </c>
      <c r="J14" s="8">
        <f>IF(OR(G14=0,VALUE(LEFT(B14,1))&gt;2),0,ROUND(I14+VLOOKUP(VALUE(LEFT(B14,1)),thamchieuvathongke!$E$2:$F$9,2,0),1))</f>
        <v>0</v>
      </c>
      <c r="K14" s="8" t="str">
        <f>VLOOKUP(J14,thamchieuvathongke!A2:B10,2,TRUE)</f>
        <v>F</v>
      </c>
    </row>
    <row r="15" spans="1:11">
      <c r="A15" s="4">
        <v>9</v>
      </c>
      <c r="B15" s="5" t="s">
        <v>29</v>
      </c>
      <c r="C15" s="6" t="str">
        <f>VLOOKUP(RIGHT(B15,8),thamchieuvathongke!$B$13:$C$27,2,0)</f>
        <v>Trần Thanh Nguyên</v>
      </c>
      <c r="D15" s="6">
        <f>VLOOKUP(RIGHT(B15,8),Diemthuchanh!$B$2:$F$16,3,0)</f>
        <v>0.45</v>
      </c>
      <c r="E15" s="6">
        <f>VLOOKUP(RIGHT(B15,8),Diemthuchanh!$B$2:$F$16,4,0)</f>
        <v>0.4</v>
      </c>
      <c r="F15" s="6">
        <f>VLOOKUP(RIGHT(B15,8),Diemthuchanh!$B$2:$F$16,5,0)</f>
        <v>0.4</v>
      </c>
      <c r="G15" s="6">
        <f>VLOOKUP(RIGHT(B15,8),baitaplon!$B$2:$D$16,3,0)</f>
        <v>0.75</v>
      </c>
      <c r="H15" s="6">
        <f>VLOOKUP(RIGHT(B15,8),Diemlythuyet!$B$2:$D$16,3,0)</f>
        <v>6.3</v>
      </c>
      <c r="I15" s="6">
        <f t="shared" si="0"/>
        <v>5.8</v>
      </c>
      <c r="J15" s="8">
        <f>IF(OR(G15=0,VALUE(LEFT(B15,1))&gt;2),0,ROUND(I15+VLOOKUP(VALUE(LEFT(B15,1)),thamchieuvathongke!$E$2:$F$9,2,0),1))</f>
        <v>6.8</v>
      </c>
      <c r="K15" s="8" t="str">
        <f>VLOOKUP(J15,thamchieuvathongke!A2:B10,2,TRUE)</f>
        <v>C+</v>
      </c>
    </row>
    <row r="16" spans="1:11">
      <c r="A16" s="4">
        <v>10</v>
      </c>
      <c r="B16" s="5" t="s">
        <v>30</v>
      </c>
      <c r="C16" s="6" t="str">
        <f>VLOOKUP(RIGHT(B16,8),thamchieuvathongke!$B$13:$C$27,2,0)</f>
        <v>Nguyễn Thị Đào</v>
      </c>
      <c r="D16" s="6">
        <f>VLOOKUP(RIGHT(B16,8),Diemthuchanh!$B$2:$F$16,3,0)</f>
        <v>0.3</v>
      </c>
      <c r="E16" s="6">
        <f>VLOOKUP(RIGHT(B16,8),Diemthuchanh!$B$2:$F$16,4,0)</f>
        <v>0.5</v>
      </c>
      <c r="F16" s="6">
        <f>VLOOKUP(RIGHT(B16,8),Diemthuchanh!$B$2:$F$16,5,0)</f>
        <v>0.45</v>
      </c>
      <c r="G16" s="6">
        <f>VLOOKUP(RIGHT(B16,8),baitaplon!$B$2:$D$16,3,0)</f>
        <v>0.3</v>
      </c>
      <c r="H16" s="6">
        <f>VLOOKUP(RIGHT(B16,8),Diemlythuyet!$B$2:$D$16,3,0)</f>
        <v>8.3</v>
      </c>
      <c r="I16" s="6">
        <f t="shared" si="0"/>
        <v>6.5</v>
      </c>
      <c r="J16" s="8">
        <f>IF(OR(G16=0,VALUE(LEFT(B16,1))&gt;2),0,ROUND(I16+VLOOKUP(VALUE(LEFT(B16,1)),thamchieuvathongke!$E$2:$F$9,2,0),1))</f>
        <v>7</v>
      </c>
      <c r="K16" s="8" t="str">
        <f>VLOOKUP(J16,thamchieuvathongke!A2:B10,2,TRUE)</f>
        <v>B</v>
      </c>
    </row>
    <row r="17" spans="1:11">
      <c r="A17" s="4">
        <v>11</v>
      </c>
      <c r="B17" s="5" t="s">
        <v>31</v>
      </c>
      <c r="C17" s="6" t="str">
        <f>VLOOKUP(RIGHT(B17,8),thamchieuvathongke!$B$13:$C$27,2,0)</f>
        <v>Nguyễn Chí Thanh</v>
      </c>
      <c r="D17" s="6">
        <f>VLOOKUP(RIGHT(B17,8),Diemthuchanh!$B$2:$F$16,3,0)</f>
        <v>0.4</v>
      </c>
      <c r="E17" s="6">
        <f>VLOOKUP(RIGHT(B17,8),Diemthuchanh!$B$2:$F$16,4,0)</f>
        <v>0.45</v>
      </c>
      <c r="F17" s="6">
        <f>VLOOKUP(RIGHT(B17,8),Diemthuchanh!$B$2:$F$16,5,0)</f>
        <v>0.4</v>
      </c>
      <c r="G17" s="6">
        <f>VLOOKUP(RIGHT(B17,8),baitaplon!$B$2:$D$16,3,0)</f>
        <v>0.3</v>
      </c>
      <c r="H17" s="6">
        <f>VLOOKUP(RIGHT(B17,8),Diemlythuyet!$B$2:$D$16,3,0)</f>
        <v>-3</v>
      </c>
      <c r="I17" s="6">
        <f t="shared" si="0"/>
        <v>0</v>
      </c>
      <c r="J17" s="8">
        <f>IF(OR(G17=0,VALUE(LEFT(B17,1))&gt;2),0,ROUND(I17+VLOOKUP(VALUE(LEFT(B17,1)),thamchieuvathongke!$E$2:$F$9,2,0),1))</f>
        <v>0</v>
      </c>
      <c r="K17" s="8" t="str">
        <f>VLOOKUP(J17,thamchieuvathongke!A2:B10,2,TRUE)</f>
        <v>F</v>
      </c>
    </row>
    <row r="18" spans="1:11">
      <c r="A18" s="4">
        <v>12</v>
      </c>
      <c r="B18" s="5" t="s">
        <v>32</v>
      </c>
      <c r="C18" s="6" t="str">
        <f>VLOOKUP(RIGHT(B18,8),thamchieuvathongke!$B$13:$C$27,2,0)</f>
        <v>Nguyễn Hải Anh</v>
      </c>
      <c r="D18" s="6">
        <f>VLOOKUP(RIGHT(B18,8),Diemthuchanh!$B$2:$F$16,3,0)</f>
        <v>0.5</v>
      </c>
      <c r="E18" s="6">
        <f>VLOOKUP(RIGHT(B18,8),Diemthuchanh!$B$2:$F$16,4,0)</f>
        <v>0.5</v>
      </c>
      <c r="F18" s="6">
        <f>VLOOKUP(RIGHT(B18,8),Diemthuchanh!$B$2:$F$16,5,0)</f>
        <v>0.45</v>
      </c>
      <c r="G18" s="6">
        <f>VLOOKUP(RIGHT(B18,8),baitaplon!$B$2:$D$16,3,0)</f>
        <v>1.5</v>
      </c>
      <c r="H18" s="6">
        <f>VLOOKUP(RIGHT(B18,8),Diemlythuyet!$B$2:$D$16,3,0)</f>
        <v>7</v>
      </c>
      <c r="I18" s="6">
        <f t="shared" si="0"/>
        <v>7.2</v>
      </c>
      <c r="J18" s="8">
        <f>IF(OR(G18=0,VALUE(LEFT(B18,1))&gt;2),0,ROUND(I18+VLOOKUP(VALUE(LEFT(B18,1)),thamchieuvathongke!$E$2:$F$9,2,0),1))</f>
        <v>7.5</v>
      </c>
      <c r="K18" s="8" t="str">
        <f>VLOOKUP(J18,thamchieuvathongke!A2:B10,2,TRUE)</f>
        <v>B</v>
      </c>
    </row>
    <row r="19" spans="1:11">
      <c r="A19" s="4">
        <v>13</v>
      </c>
      <c r="B19" s="5" t="s">
        <v>33</v>
      </c>
      <c r="C19" s="6" t="str">
        <f>VLOOKUP(RIGHT(B19,8),thamchieuvathongke!$B$13:$C$27,2,0)</f>
        <v>Trần Nam Dương</v>
      </c>
      <c r="D19" s="6">
        <f>VLOOKUP(RIGHT(B19,8),Diemthuchanh!$B$2:$F$16,3,0)</f>
        <v>0.4</v>
      </c>
      <c r="E19" s="6">
        <f>VLOOKUP(RIGHT(B19,8),Diemthuchanh!$B$2:$F$16,4,0)</f>
        <v>0.4</v>
      </c>
      <c r="F19" s="6">
        <f>VLOOKUP(RIGHT(B19,8),Diemthuchanh!$B$2:$F$16,5,0)</f>
        <v>0.35</v>
      </c>
      <c r="G19" s="6">
        <f>VLOOKUP(RIGHT(B19,8),baitaplon!$B$2:$D$16,3,0)</f>
        <v>1.35</v>
      </c>
      <c r="H19" s="6">
        <f>VLOOKUP(RIGHT(B19,8),Diemlythuyet!$B$2:$D$16,3,0)</f>
        <v>-3</v>
      </c>
      <c r="I19" s="6">
        <f t="shared" si="0"/>
        <v>0</v>
      </c>
      <c r="J19" s="8">
        <f>IF(OR(G19=0,VALUE(LEFT(B19,1))&gt;2),0,ROUND(I19+VLOOKUP(VALUE(LEFT(B19,1)),thamchieuvathongke!$E$2:$F$9,2,0),1))</f>
        <v>0</v>
      </c>
      <c r="K19" s="8" t="str">
        <f>VLOOKUP(J19,thamchieuvathongke!A2:B10,2,TRUE)</f>
        <v>F</v>
      </c>
    </row>
    <row r="20" spans="1:11">
      <c r="A20" s="4">
        <v>14</v>
      </c>
      <c r="B20" s="5" t="s">
        <v>34</v>
      </c>
      <c r="C20" s="6" t="str">
        <f>VLOOKUP(RIGHT(B20,8),thamchieuvathongke!$B$13:$C$27,2,0)</f>
        <v>Nguyễn Duy Khanh</v>
      </c>
      <c r="D20" s="6">
        <f>VLOOKUP(RIGHT(B20,8),Diemthuchanh!$B$2:$F$16,3,0)</f>
        <v>0.35</v>
      </c>
      <c r="E20" s="6">
        <f>VLOOKUP(RIGHT(B20,8),Diemthuchanh!$B$2:$F$16,4,0)</f>
        <v>0.4</v>
      </c>
      <c r="F20" s="6">
        <f>VLOOKUP(RIGHT(B20,8),Diemthuchanh!$B$2:$F$16,5,0)</f>
        <v>0</v>
      </c>
      <c r="G20" s="6">
        <f>VLOOKUP(RIGHT(B20,8),baitaplon!$B$2:$D$16,3,0)</f>
        <v>0.85</v>
      </c>
      <c r="H20" s="6">
        <f>VLOOKUP(RIGHT(B20,8),Diemlythuyet!$B$2:$D$16,3,0)</f>
        <v>6.5</v>
      </c>
      <c r="I20" s="6">
        <f t="shared" si="0"/>
        <v>5.5</v>
      </c>
      <c r="J20" s="8">
        <f>IF(OR(G20=0,VALUE(LEFT(B20,1))&gt;2),0,ROUND(I20+VLOOKUP(VALUE(LEFT(B20,1)),thamchieuvathongke!$E$2:$F$9,2,0),1))</f>
        <v>6.5</v>
      </c>
      <c r="K20" s="8" t="str">
        <f>VLOOKUP(J20,thamchieuvathongke!A2:B10,2,TRUE)</f>
        <v>C+</v>
      </c>
    </row>
  </sheetData>
  <mergeCells count="7">
    <mergeCell ref="B1:H1"/>
    <mergeCell ref="D2:E2"/>
    <mergeCell ref="F2:H2"/>
    <mergeCell ref="D3:E3"/>
    <mergeCell ref="F3:H3"/>
    <mergeCell ref="D4:E4"/>
    <mergeCell ref="F4:H4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G7" sqref="G7"/>
    </sheetView>
  </sheetViews>
  <sheetFormatPr defaultColWidth="9" defaultRowHeight="16.8" outlineLevelCol="5"/>
  <cols>
    <col min="2" max="2" width="11.6666666666667" customWidth="1"/>
    <col min="3" max="3" width="19.3333333333333" customWidth="1"/>
    <col min="4" max="4" width="9.88636363636364" customWidth="1"/>
    <col min="5" max="5" width="9.5530303030303" customWidth="1"/>
    <col min="6" max="6" width="10.1060606060606" customWidth="1"/>
  </cols>
  <sheetData>
    <row r="1" spans="1:6">
      <c r="A1" s="34" t="s">
        <v>35</v>
      </c>
      <c r="B1" s="36"/>
      <c r="C1" s="36"/>
      <c r="D1" s="36"/>
      <c r="E1" s="36"/>
      <c r="F1" s="36"/>
    </row>
    <row r="2" spans="1:6">
      <c r="A2" s="34" t="s">
        <v>10</v>
      </c>
      <c r="B2" s="34" t="s">
        <v>11</v>
      </c>
      <c r="C2" s="34" t="s">
        <v>36</v>
      </c>
      <c r="D2" s="34" t="s">
        <v>37</v>
      </c>
      <c r="E2" s="34" t="s">
        <v>38</v>
      </c>
      <c r="F2" s="34" t="s">
        <v>39</v>
      </c>
    </row>
    <row r="3" spans="1:6">
      <c r="A3" s="16">
        <v>1</v>
      </c>
      <c r="B3" s="6" t="s">
        <v>40</v>
      </c>
      <c r="C3" s="6" t="s">
        <v>41</v>
      </c>
      <c r="D3" s="16">
        <v>0.45</v>
      </c>
      <c r="E3" s="16">
        <v>0.25</v>
      </c>
      <c r="F3" s="16">
        <v>0.3</v>
      </c>
    </row>
    <row r="4" spans="1:6">
      <c r="A4" s="16">
        <v>2</v>
      </c>
      <c r="B4" s="6" t="s">
        <v>42</v>
      </c>
      <c r="C4" s="6" t="s">
        <v>43</v>
      </c>
      <c r="D4" s="16">
        <v>0.5</v>
      </c>
      <c r="E4" s="16">
        <v>0.35</v>
      </c>
      <c r="F4" s="16">
        <v>0.4</v>
      </c>
    </row>
    <row r="5" spans="1:6">
      <c r="A5" s="16">
        <v>3</v>
      </c>
      <c r="B5" s="6" t="s">
        <v>44</v>
      </c>
      <c r="C5" s="6" t="s">
        <v>45</v>
      </c>
      <c r="D5" s="16">
        <v>0.25</v>
      </c>
      <c r="E5" s="16">
        <v>0.25</v>
      </c>
      <c r="F5" s="16">
        <v>0.3</v>
      </c>
    </row>
    <row r="6" spans="1:6">
      <c r="A6" s="16">
        <v>4</v>
      </c>
      <c r="B6" s="6" t="s">
        <v>46</v>
      </c>
      <c r="C6" s="6" t="s">
        <v>47</v>
      </c>
      <c r="D6" s="16">
        <v>0.4</v>
      </c>
      <c r="E6" s="16">
        <v>0.25</v>
      </c>
      <c r="F6" s="16">
        <v>0.35</v>
      </c>
    </row>
    <row r="7" spans="1:6">
      <c r="A7" s="16">
        <v>5</v>
      </c>
      <c r="B7" s="6" t="s">
        <v>48</v>
      </c>
      <c r="C7" s="6" t="s">
        <v>49</v>
      </c>
      <c r="D7" s="16">
        <v>0.45</v>
      </c>
      <c r="E7" s="16">
        <v>0.4</v>
      </c>
      <c r="F7" s="16">
        <v>0.35</v>
      </c>
    </row>
    <row r="8" spans="1:6">
      <c r="A8" s="16">
        <v>6</v>
      </c>
      <c r="B8" s="6" t="s">
        <v>50</v>
      </c>
      <c r="C8" s="6" t="s">
        <v>51</v>
      </c>
      <c r="D8" s="16">
        <v>0.4</v>
      </c>
      <c r="E8" s="16">
        <v>0.45</v>
      </c>
      <c r="F8" s="16">
        <v>0.5</v>
      </c>
    </row>
    <row r="9" spans="1:6">
      <c r="A9" s="16">
        <v>7</v>
      </c>
      <c r="B9" s="6" t="s">
        <v>52</v>
      </c>
      <c r="C9" s="6" t="s">
        <v>53</v>
      </c>
      <c r="D9" s="16">
        <v>0.4</v>
      </c>
      <c r="E9" s="16">
        <v>0.4</v>
      </c>
      <c r="F9" s="16">
        <v>0.4</v>
      </c>
    </row>
    <row r="10" spans="1:6">
      <c r="A10" s="16">
        <v>8</v>
      </c>
      <c r="B10" s="6" t="s">
        <v>54</v>
      </c>
      <c r="C10" s="6" t="s">
        <v>55</v>
      </c>
      <c r="D10" s="16">
        <v>0.45</v>
      </c>
      <c r="E10" s="16">
        <v>0.4</v>
      </c>
      <c r="F10" s="16">
        <v>0.45</v>
      </c>
    </row>
    <row r="11" spans="1:6">
      <c r="A11" s="16">
        <v>9</v>
      </c>
      <c r="B11" s="6" t="s">
        <v>56</v>
      </c>
      <c r="C11" s="6" t="s">
        <v>57</v>
      </c>
      <c r="D11" s="16">
        <v>0.45</v>
      </c>
      <c r="E11" s="16">
        <v>0.4</v>
      </c>
      <c r="F11" s="16">
        <v>0.4</v>
      </c>
    </row>
    <row r="12" spans="1:6">
      <c r="A12" s="16">
        <v>10</v>
      </c>
      <c r="B12" s="6" t="s">
        <v>58</v>
      </c>
      <c r="C12" s="6" t="s">
        <v>59</v>
      </c>
      <c r="D12" s="16">
        <v>0.3</v>
      </c>
      <c r="E12" s="16">
        <v>0.5</v>
      </c>
      <c r="F12" s="16">
        <v>0.45</v>
      </c>
    </row>
    <row r="13" spans="1:6">
      <c r="A13" s="16">
        <v>11</v>
      </c>
      <c r="B13" s="6" t="s">
        <v>60</v>
      </c>
      <c r="C13" s="6" t="s">
        <v>61</v>
      </c>
      <c r="D13" s="16">
        <v>0.4</v>
      </c>
      <c r="E13" s="16">
        <v>0.45</v>
      </c>
      <c r="F13" s="16">
        <v>0.4</v>
      </c>
    </row>
    <row r="14" spans="1:6">
      <c r="A14" s="16">
        <v>12</v>
      </c>
      <c r="B14" s="6" t="s">
        <v>62</v>
      </c>
      <c r="C14" s="6" t="s">
        <v>63</v>
      </c>
      <c r="D14" s="16">
        <v>0.5</v>
      </c>
      <c r="E14" s="16">
        <v>0.5</v>
      </c>
      <c r="F14" s="16">
        <v>0.45</v>
      </c>
    </row>
    <row r="15" spans="1:6">
      <c r="A15" s="16">
        <v>13</v>
      </c>
      <c r="B15" s="6" t="s">
        <v>64</v>
      </c>
      <c r="C15" s="6" t="s">
        <v>65</v>
      </c>
      <c r="D15" s="16">
        <v>0.4</v>
      </c>
      <c r="E15" s="16">
        <v>0.4</v>
      </c>
      <c r="F15" s="16">
        <v>0.35</v>
      </c>
    </row>
    <row r="16" spans="1:6">
      <c r="A16" s="16">
        <v>14</v>
      </c>
      <c r="B16" s="6" t="s">
        <v>66</v>
      </c>
      <c r="C16" s="6" t="s">
        <v>67</v>
      </c>
      <c r="D16" s="16">
        <v>0.35</v>
      </c>
      <c r="E16" s="16">
        <v>0.4</v>
      </c>
      <c r="F16" s="16">
        <v>0</v>
      </c>
    </row>
  </sheetData>
  <mergeCells count="1">
    <mergeCell ref="A1:F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zoomScale="140" zoomScaleNormal="140" workbookViewId="0">
      <selection activeCell="C3" sqref="C3:C16"/>
    </sheetView>
  </sheetViews>
  <sheetFormatPr defaultColWidth="9" defaultRowHeight="16.8" outlineLevelCol="3"/>
  <cols>
    <col min="2" max="2" width="11.5530303030303" customWidth="1"/>
    <col min="3" max="3" width="18.4393939393939" customWidth="1"/>
    <col min="4" max="4" width="12.1060606060606" customWidth="1"/>
  </cols>
  <sheetData>
    <row r="1" spans="1:4">
      <c r="A1" s="32" t="s">
        <v>68</v>
      </c>
      <c r="B1" s="33"/>
      <c r="C1" s="33"/>
      <c r="D1" s="33"/>
    </row>
    <row r="2" spans="1:4">
      <c r="A2" s="34" t="s">
        <v>10</v>
      </c>
      <c r="B2" s="34" t="s">
        <v>11</v>
      </c>
      <c r="C2" s="34" t="s">
        <v>69</v>
      </c>
      <c r="D2" s="34" t="s">
        <v>70</v>
      </c>
    </row>
    <row r="3" spans="1:4">
      <c r="A3" s="16">
        <v>1</v>
      </c>
      <c r="B3" s="6" t="s">
        <v>40</v>
      </c>
      <c r="C3" s="6" t="s">
        <v>41</v>
      </c>
      <c r="D3" s="16">
        <v>0.5</v>
      </c>
    </row>
    <row r="4" spans="1:4">
      <c r="A4" s="16">
        <v>2</v>
      </c>
      <c r="B4" s="6" t="s">
        <v>42</v>
      </c>
      <c r="C4" s="6" t="s">
        <v>43</v>
      </c>
      <c r="D4" s="16">
        <v>1</v>
      </c>
    </row>
    <row r="5" spans="1:4">
      <c r="A5" s="16">
        <v>3</v>
      </c>
      <c r="B5" s="6" t="s">
        <v>44</v>
      </c>
      <c r="C5" s="6" t="s">
        <v>45</v>
      </c>
      <c r="D5" s="16">
        <v>0.5</v>
      </c>
    </row>
    <row r="6" spans="1:4">
      <c r="A6" s="16">
        <v>4</v>
      </c>
      <c r="B6" s="6" t="s">
        <v>46</v>
      </c>
      <c r="C6" s="6" t="s">
        <v>47</v>
      </c>
      <c r="D6" s="16">
        <v>1</v>
      </c>
    </row>
    <row r="7" spans="1:4">
      <c r="A7" s="16">
        <v>5</v>
      </c>
      <c r="B7" s="6" t="s">
        <v>48</v>
      </c>
      <c r="C7" s="6" t="s">
        <v>49</v>
      </c>
      <c r="D7" s="16">
        <v>0.75</v>
      </c>
    </row>
    <row r="8" spans="1:4">
      <c r="A8" s="16">
        <v>6</v>
      </c>
      <c r="B8" s="6" t="s">
        <v>50</v>
      </c>
      <c r="C8" s="6" t="s">
        <v>51</v>
      </c>
      <c r="D8" s="16">
        <v>1.2</v>
      </c>
    </row>
    <row r="9" spans="1:4">
      <c r="A9" s="16">
        <v>7</v>
      </c>
      <c r="B9" s="6" t="s">
        <v>52</v>
      </c>
      <c r="C9" s="6" t="s">
        <v>53</v>
      </c>
      <c r="D9" s="16">
        <v>1</v>
      </c>
    </row>
    <row r="10" spans="1:4">
      <c r="A10" s="16">
        <v>8</v>
      </c>
      <c r="B10" s="6" t="s">
        <v>54</v>
      </c>
      <c r="C10" s="6" t="s">
        <v>55</v>
      </c>
      <c r="D10" s="16">
        <v>0</v>
      </c>
    </row>
    <row r="11" spans="1:4">
      <c r="A11" s="16">
        <v>9</v>
      </c>
      <c r="B11" s="6" t="s">
        <v>56</v>
      </c>
      <c r="C11" s="6" t="s">
        <v>57</v>
      </c>
      <c r="D11" s="16">
        <v>0.75</v>
      </c>
    </row>
    <row r="12" spans="1:4">
      <c r="A12" s="16">
        <v>10</v>
      </c>
      <c r="B12" s="6" t="s">
        <v>58</v>
      </c>
      <c r="C12" s="6" t="s">
        <v>59</v>
      </c>
      <c r="D12" s="16">
        <v>0.3</v>
      </c>
    </row>
    <row r="13" spans="1:4">
      <c r="A13" s="16">
        <v>11</v>
      </c>
      <c r="B13" s="6" t="s">
        <v>60</v>
      </c>
      <c r="C13" s="6" t="s">
        <v>61</v>
      </c>
      <c r="D13" s="16">
        <v>0.3</v>
      </c>
    </row>
    <row r="14" spans="1:4">
      <c r="A14" s="16">
        <v>12</v>
      </c>
      <c r="B14" s="6" t="s">
        <v>62</v>
      </c>
      <c r="C14" s="6" t="s">
        <v>63</v>
      </c>
      <c r="D14" s="16">
        <v>1.5</v>
      </c>
    </row>
    <row r="15" spans="1:4">
      <c r="A15" s="16">
        <v>13</v>
      </c>
      <c r="B15" s="6" t="s">
        <v>64</v>
      </c>
      <c r="C15" s="6" t="s">
        <v>65</v>
      </c>
      <c r="D15" s="16">
        <v>1.35</v>
      </c>
    </row>
    <row r="16" spans="1:4">
      <c r="A16" s="16">
        <v>14</v>
      </c>
      <c r="B16" s="6" t="s">
        <v>66</v>
      </c>
      <c r="C16" s="6" t="s">
        <v>67</v>
      </c>
      <c r="D16" s="16">
        <v>0.85</v>
      </c>
    </row>
    <row r="17" spans="1:1">
      <c r="A17" s="35"/>
    </row>
  </sheetData>
  <mergeCells count="1">
    <mergeCell ref="A1:D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zoomScale="130" zoomScaleNormal="130" workbookViewId="0">
      <selection activeCell="H17" sqref="H17"/>
    </sheetView>
  </sheetViews>
  <sheetFormatPr defaultColWidth="9" defaultRowHeight="16.8" outlineLevelCol="3"/>
  <cols>
    <col min="2" max="2" width="15.1060606060606" customWidth="1"/>
    <col min="3" max="3" width="16.219696969697" customWidth="1"/>
    <col min="4" max="4" width="14.219696969697" customWidth="1"/>
  </cols>
  <sheetData>
    <row r="1" spans="1:4">
      <c r="A1" s="30" t="s">
        <v>71</v>
      </c>
      <c r="B1" s="30"/>
      <c r="C1" s="30"/>
      <c r="D1" s="30"/>
    </row>
    <row r="2" spans="1:4">
      <c r="A2" s="31" t="s">
        <v>10</v>
      </c>
      <c r="B2" s="31" t="s">
        <v>11</v>
      </c>
      <c r="C2" s="31" t="s">
        <v>69</v>
      </c>
      <c r="D2" s="31" t="s">
        <v>72</v>
      </c>
    </row>
    <row r="3" spans="1:4">
      <c r="A3" s="16">
        <v>1</v>
      </c>
      <c r="B3" s="6" t="s">
        <v>40</v>
      </c>
      <c r="C3" s="6" t="s">
        <v>41</v>
      </c>
      <c r="D3" s="6">
        <v>4.2</v>
      </c>
    </row>
    <row r="4" spans="1:4">
      <c r="A4" s="16">
        <v>2</v>
      </c>
      <c r="B4" s="6" t="s">
        <v>42</v>
      </c>
      <c r="C4" s="6" t="s">
        <v>43</v>
      </c>
      <c r="D4" s="6">
        <v>5.8</v>
      </c>
    </row>
    <row r="5" spans="1:4">
      <c r="A5" s="16">
        <v>3</v>
      </c>
      <c r="B5" s="6" t="s">
        <v>44</v>
      </c>
      <c r="C5" s="6" t="s">
        <v>45</v>
      </c>
      <c r="D5" s="6">
        <v>5.8</v>
      </c>
    </row>
    <row r="6" spans="1:4">
      <c r="A6" s="16">
        <v>4</v>
      </c>
      <c r="B6" s="6" t="s">
        <v>46</v>
      </c>
      <c r="C6" s="6" t="s">
        <v>47</v>
      </c>
      <c r="D6" s="6">
        <v>4.5</v>
      </c>
    </row>
    <row r="7" spans="1:4">
      <c r="A7" s="16">
        <v>5</v>
      </c>
      <c r="B7" s="6" t="s">
        <v>48</v>
      </c>
      <c r="C7" s="6" t="s">
        <v>49</v>
      </c>
      <c r="D7" s="6">
        <v>5.5</v>
      </c>
    </row>
    <row r="8" spans="1:4">
      <c r="A8" s="16">
        <v>6</v>
      </c>
      <c r="B8" s="6" t="s">
        <v>50</v>
      </c>
      <c r="C8" s="6" t="s">
        <v>51</v>
      </c>
      <c r="D8" s="6">
        <v>7.5</v>
      </c>
    </row>
    <row r="9" spans="1:4">
      <c r="A9" s="16">
        <v>7</v>
      </c>
      <c r="B9" s="6" t="s">
        <v>52</v>
      </c>
      <c r="C9" s="6" t="s">
        <v>53</v>
      </c>
      <c r="D9" s="6">
        <v>5.3</v>
      </c>
    </row>
    <row r="10" spans="1:4">
      <c r="A10" s="16">
        <v>8</v>
      </c>
      <c r="B10" s="6" t="s">
        <v>54</v>
      </c>
      <c r="C10" s="6" t="s">
        <v>55</v>
      </c>
      <c r="D10" s="6">
        <v>6.8</v>
      </c>
    </row>
    <row r="11" spans="1:4">
      <c r="A11" s="16">
        <v>9</v>
      </c>
      <c r="B11" s="6" t="s">
        <v>56</v>
      </c>
      <c r="C11" s="6" t="s">
        <v>57</v>
      </c>
      <c r="D11" s="6">
        <v>6.3</v>
      </c>
    </row>
    <row r="12" spans="1:4">
      <c r="A12" s="16">
        <v>10</v>
      </c>
      <c r="B12" s="6" t="s">
        <v>58</v>
      </c>
      <c r="C12" s="6" t="s">
        <v>59</v>
      </c>
      <c r="D12" s="6">
        <v>8.3</v>
      </c>
    </row>
    <row r="13" spans="1:4">
      <c r="A13" s="16">
        <v>11</v>
      </c>
      <c r="B13" s="6" t="s">
        <v>60</v>
      </c>
      <c r="C13" s="6" t="s">
        <v>61</v>
      </c>
      <c r="D13" s="6">
        <v>-3</v>
      </c>
    </row>
    <row r="14" spans="1:4">
      <c r="A14" s="16">
        <v>12</v>
      </c>
      <c r="B14" s="6" t="s">
        <v>62</v>
      </c>
      <c r="C14" s="6" t="s">
        <v>63</v>
      </c>
      <c r="D14" s="6">
        <v>7</v>
      </c>
    </row>
    <row r="15" spans="1:4">
      <c r="A15" s="16">
        <v>13</v>
      </c>
      <c r="B15" s="6" t="s">
        <v>64</v>
      </c>
      <c r="C15" s="6" t="s">
        <v>65</v>
      </c>
      <c r="D15" s="6">
        <v>-3</v>
      </c>
    </row>
    <row r="16" spans="1:4">
      <c r="A16" s="16">
        <v>14</v>
      </c>
      <c r="B16" s="6" t="s">
        <v>66</v>
      </c>
      <c r="C16" s="6" t="s">
        <v>67</v>
      </c>
      <c r="D16" s="6">
        <v>6.5</v>
      </c>
    </row>
  </sheetData>
  <mergeCells count="1">
    <mergeCell ref="A1:D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zoomScale="80" zoomScaleNormal="80" topLeftCell="A4" workbookViewId="0">
      <selection activeCell="L3" sqref="L3"/>
    </sheetView>
  </sheetViews>
  <sheetFormatPr defaultColWidth="9" defaultRowHeight="16.8" outlineLevelCol="5"/>
  <cols>
    <col min="1" max="1" width="22.1060606060606" customWidth="1"/>
    <col min="2" max="2" width="11.6666666666667" customWidth="1"/>
    <col min="3" max="3" width="21.5530303030303" customWidth="1"/>
    <col min="4" max="4" width="4" customWidth="1"/>
    <col min="5" max="5" width="19.219696969697" customWidth="1"/>
    <col min="6" max="6" width="14.3333333333333" customWidth="1"/>
  </cols>
  <sheetData>
    <row r="1" spans="1:6">
      <c r="A1" s="9" t="s">
        <v>73</v>
      </c>
      <c r="B1" s="10"/>
      <c r="C1" s="11"/>
      <c r="D1" s="6"/>
      <c r="E1" s="9" t="s">
        <v>74</v>
      </c>
      <c r="F1" s="12"/>
    </row>
    <row r="2" spans="1:6">
      <c r="A2" s="13" t="s">
        <v>75</v>
      </c>
      <c r="B2" s="13" t="s">
        <v>76</v>
      </c>
      <c r="C2" s="13" t="s">
        <v>77</v>
      </c>
      <c r="D2" s="6"/>
      <c r="E2" s="14" t="s">
        <v>78</v>
      </c>
      <c r="F2" s="14" t="s">
        <v>79</v>
      </c>
    </row>
    <row r="3" spans="1:6">
      <c r="A3" s="6">
        <v>0</v>
      </c>
      <c r="B3" s="15" t="s">
        <v>80</v>
      </c>
      <c r="C3" s="6">
        <v>0</v>
      </c>
      <c r="D3" s="6"/>
      <c r="E3" s="16">
        <v>0</v>
      </c>
      <c r="F3" s="6">
        <v>1</v>
      </c>
    </row>
    <row r="4" spans="1:6">
      <c r="A4" s="6">
        <v>4</v>
      </c>
      <c r="B4" s="15" t="s">
        <v>81</v>
      </c>
      <c r="C4" s="6">
        <v>1</v>
      </c>
      <c r="D4" s="6"/>
      <c r="E4" s="16">
        <v>1</v>
      </c>
      <c r="F4" s="6">
        <v>0.5</v>
      </c>
    </row>
    <row r="5" spans="1:6">
      <c r="A5" s="6">
        <v>5</v>
      </c>
      <c r="B5" s="15" t="s">
        <v>82</v>
      </c>
      <c r="C5" s="6">
        <v>1.5</v>
      </c>
      <c r="D5" s="6"/>
      <c r="E5" s="16">
        <v>2</v>
      </c>
      <c r="F5" s="6">
        <v>0.25</v>
      </c>
    </row>
    <row r="6" spans="1:6">
      <c r="A6" s="6">
        <v>5.5</v>
      </c>
      <c r="B6" s="15" t="s">
        <v>83</v>
      </c>
      <c r="C6" s="6">
        <v>2</v>
      </c>
      <c r="D6" s="6"/>
      <c r="E6" s="6"/>
      <c r="F6" s="6"/>
    </row>
    <row r="7" spans="1:6">
      <c r="A7" s="6">
        <v>6.5</v>
      </c>
      <c r="B7" s="15" t="s">
        <v>84</v>
      </c>
      <c r="C7" s="6">
        <v>2.5</v>
      </c>
      <c r="D7" s="6"/>
      <c r="E7" s="6"/>
      <c r="F7" s="6"/>
    </row>
    <row r="8" spans="1:6">
      <c r="A8" s="6">
        <v>7</v>
      </c>
      <c r="B8" s="15" t="s">
        <v>85</v>
      </c>
      <c r="C8" s="6">
        <v>3</v>
      </c>
      <c r="D8" s="6"/>
      <c r="E8" s="6"/>
      <c r="F8" s="6"/>
    </row>
    <row r="9" spans="1:6">
      <c r="A9" s="6">
        <v>8</v>
      </c>
      <c r="B9" s="15" t="s">
        <v>86</v>
      </c>
      <c r="C9" s="6">
        <v>3.5</v>
      </c>
      <c r="D9" s="6"/>
      <c r="E9" s="6"/>
      <c r="F9" s="6"/>
    </row>
    <row r="10" spans="1:6">
      <c r="A10" s="6">
        <v>9</v>
      </c>
      <c r="B10" s="15" t="s">
        <v>87</v>
      </c>
      <c r="C10" s="6">
        <v>4</v>
      </c>
      <c r="D10" s="6"/>
      <c r="E10" s="6"/>
      <c r="F10" s="6"/>
    </row>
    <row r="11" spans="1:6">
      <c r="A11" s="17"/>
      <c r="B11" s="18"/>
      <c r="C11" s="19"/>
      <c r="D11" s="6"/>
      <c r="E11" s="17"/>
      <c r="F11" s="19"/>
    </row>
    <row r="12" spans="1:6">
      <c r="A12" s="9" t="s">
        <v>88</v>
      </c>
      <c r="B12" s="20"/>
      <c r="C12" s="12"/>
      <c r="D12" s="6"/>
      <c r="E12" s="9" t="s">
        <v>89</v>
      </c>
      <c r="F12" s="12"/>
    </row>
    <row r="13" ht="35.25" customHeight="1" spans="1:6">
      <c r="A13" s="13" t="s">
        <v>10</v>
      </c>
      <c r="B13" s="13" t="s">
        <v>11</v>
      </c>
      <c r="C13" s="13" t="s">
        <v>69</v>
      </c>
      <c r="D13" s="16"/>
      <c r="E13" s="13" t="s">
        <v>76</v>
      </c>
      <c r="F13" s="21" t="s">
        <v>90</v>
      </c>
    </row>
    <row r="14" spans="1:6">
      <c r="A14" s="16">
        <v>1</v>
      </c>
      <c r="B14" s="6" t="s">
        <v>46</v>
      </c>
      <c r="C14" s="6" t="s">
        <v>47</v>
      </c>
      <c r="D14" s="6"/>
      <c r="E14" s="16" t="s">
        <v>87</v>
      </c>
      <c r="F14" s="6">
        <f>COUNTIF(Tonghopdiem!$K$7:$K$20,E14)</f>
        <v>0</v>
      </c>
    </row>
    <row r="15" spans="1:6">
      <c r="A15" s="16">
        <v>2</v>
      </c>
      <c r="B15" s="6" t="s">
        <v>54</v>
      </c>
      <c r="C15" s="6" t="s">
        <v>55</v>
      </c>
      <c r="D15" s="6"/>
      <c r="E15" s="16" t="s">
        <v>86</v>
      </c>
      <c r="F15" s="6">
        <f>COUNTIF(Tonghopdiem!$K$7:$K$20,E15)</f>
        <v>1</v>
      </c>
    </row>
    <row r="16" spans="1:6">
      <c r="A16" s="16">
        <v>3</v>
      </c>
      <c r="B16" s="6" t="s">
        <v>56</v>
      </c>
      <c r="C16" s="6" t="s">
        <v>57</v>
      </c>
      <c r="D16" s="6"/>
      <c r="E16" s="16" t="s">
        <v>85</v>
      </c>
      <c r="F16" s="6">
        <f>COUNTIF(Tonghopdiem!$K$7:$K$20,E16)</f>
        <v>2</v>
      </c>
    </row>
    <row r="17" spans="1:6">
      <c r="A17" s="16">
        <v>4</v>
      </c>
      <c r="B17" s="6" t="s">
        <v>52</v>
      </c>
      <c r="C17" s="6" t="s">
        <v>53</v>
      </c>
      <c r="D17" s="6"/>
      <c r="E17" s="16" t="s">
        <v>84</v>
      </c>
      <c r="F17" s="6">
        <f>COUNTIF(Tonghopdiem!$K$7:$K$20,E17)</f>
        <v>2</v>
      </c>
    </row>
    <row r="18" spans="1:6">
      <c r="A18" s="16">
        <v>5</v>
      </c>
      <c r="B18" s="6" t="s">
        <v>48</v>
      </c>
      <c r="C18" s="6" t="s">
        <v>49</v>
      </c>
      <c r="D18" s="6"/>
      <c r="E18" s="16" t="s">
        <v>83</v>
      </c>
      <c r="F18" s="6">
        <f>COUNTIF(Tonghopdiem!$K$7:$K$20,E18)</f>
        <v>5</v>
      </c>
    </row>
    <row r="19" spans="1:6">
      <c r="A19" s="16">
        <v>6</v>
      </c>
      <c r="B19" s="6" t="s">
        <v>42</v>
      </c>
      <c r="C19" s="6" t="s">
        <v>43</v>
      </c>
      <c r="D19" s="6"/>
      <c r="E19" s="16" t="s">
        <v>82</v>
      </c>
      <c r="F19" s="6">
        <f>COUNTIF(Tonghopdiem!$K$7:$K$20,E19)</f>
        <v>1</v>
      </c>
    </row>
    <row r="20" spans="1:6">
      <c r="A20" s="16">
        <v>7</v>
      </c>
      <c r="B20" s="6" t="s">
        <v>60</v>
      </c>
      <c r="C20" s="6" t="s">
        <v>61</v>
      </c>
      <c r="D20" s="6"/>
      <c r="E20" s="16" t="s">
        <v>81</v>
      </c>
      <c r="F20" s="6">
        <f>COUNTIF(Tonghopdiem!$K$7:$K$20,E20)</f>
        <v>0</v>
      </c>
    </row>
    <row r="21" spans="1:6">
      <c r="A21" s="16">
        <v>8</v>
      </c>
      <c r="B21" s="6" t="s">
        <v>66</v>
      </c>
      <c r="C21" s="6" t="s">
        <v>67</v>
      </c>
      <c r="D21" s="6"/>
      <c r="E21" s="16" t="s">
        <v>80</v>
      </c>
      <c r="F21" s="6">
        <f>COUNTIF(Tonghopdiem!$K$7:$K$20,E21)</f>
        <v>3</v>
      </c>
    </row>
    <row r="22" spans="1:6">
      <c r="A22" s="16">
        <v>9</v>
      </c>
      <c r="B22" s="6" t="s">
        <v>62</v>
      </c>
      <c r="C22" s="6" t="s">
        <v>63</v>
      </c>
      <c r="D22" s="6"/>
      <c r="E22" s="6"/>
      <c r="F22" s="6"/>
    </row>
    <row r="23" spans="1:6">
      <c r="A23" s="16">
        <v>10</v>
      </c>
      <c r="B23" s="6" t="s">
        <v>44</v>
      </c>
      <c r="C23" s="6" t="s">
        <v>45</v>
      </c>
      <c r="D23" s="6"/>
      <c r="E23" s="9" t="s">
        <v>91</v>
      </c>
      <c r="F23" s="22"/>
    </row>
    <row r="24" spans="1:6">
      <c r="A24" s="16">
        <v>11</v>
      </c>
      <c r="B24" s="6" t="s">
        <v>58</v>
      </c>
      <c r="C24" s="6" t="s">
        <v>59</v>
      </c>
      <c r="D24" s="6"/>
      <c r="E24" s="23" t="s">
        <v>92</v>
      </c>
      <c r="F24" s="24">
        <f>COUNTIF(Tonghopdiem!G7:G20,0)+COUNTIF(Tonghopdiem!H7:H20,-3)</f>
        <v>3</v>
      </c>
    </row>
    <row r="25" spans="1:6">
      <c r="A25" s="16">
        <v>12</v>
      </c>
      <c r="B25" s="6" t="s">
        <v>40</v>
      </c>
      <c r="C25" s="6" t="s">
        <v>41</v>
      </c>
      <c r="D25" s="6"/>
      <c r="E25" s="25"/>
      <c r="F25" s="26"/>
    </row>
    <row r="26" spans="1:6">
      <c r="A26" s="16">
        <v>13</v>
      </c>
      <c r="B26" s="6" t="s">
        <v>50</v>
      </c>
      <c r="C26" s="6" t="s">
        <v>51</v>
      </c>
      <c r="D26" s="6"/>
      <c r="E26" s="27"/>
      <c r="F26" s="28"/>
    </row>
    <row r="27" spans="1:6">
      <c r="A27" s="16">
        <v>14</v>
      </c>
      <c r="B27" s="6" t="s">
        <v>64</v>
      </c>
      <c r="C27" s="6" t="s">
        <v>65</v>
      </c>
      <c r="D27" s="6"/>
      <c r="E27" s="29" t="s">
        <v>93</v>
      </c>
      <c r="F27" s="4">
        <f>COUNTIFS(Tonghopdiem!J7:J20,"&gt;=7",Tonghopdiem!K7:K20,"B+")+COUNTIFS(Tonghopdiem!J7:J20,"&gt;=7",Tonghopdiem!K7:K20,"A")</f>
        <v>1</v>
      </c>
    </row>
  </sheetData>
  <mergeCells count="9">
    <mergeCell ref="A1:C1"/>
    <mergeCell ref="E1:F1"/>
    <mergeCell ref="A11:C11"/>
    <mergeCell ref="E11:F11"/>
    <mergeCell ref="A12:C12"/>
    <mergeCell ref="E12:F12"/>
    <mergeCell ref="E23:F23"/>
    <mergeCell ref="E24:E26"/>
    <mergeCell ref="F24:F26"/>
  </mergeCells>
  <pageMargins left="0.7" right="0.7" top="0.75" bottom="0.75" header="0.3" footer="0.3"/>
  <pageSetup paperSize="1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13"/>
  <sheetViews>
    <sheetView workbookViewId="0">
      <selection activeCell="M7" sqref="M7"/>
    </sheetView>
  </sheetViews>
  <sheetFormatPr defaultColWidth="9" defaultRowHeight="16.8"/>
  <cols>
    <col min="2" max="2" width="10.3333333333333" customWidth="1"/>
    <col min="3" max="3" width="17.5530303030303" customWidth="1"/>
  </cols>
  <sheetData>
    <row r="2" ht="84" spans="1:11">
      <c r="A2" s="1" t="s">
        <v>10</v>
      </c>
      <c r="B2" s="2" t="s">
        <v>11</v>
      </c>
      <c r="C2" s="2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7" t="s">
        <v>18</v>
      </c>
      <c r="J2" s="3" t="s">
        <v>19</v>
      </c>
      <c r="K2" s="3" t="s">
        <v>20</v>
      </c>
    </row>
    <row r="3" spans="1:11">
      <c r="A3" s="4">
        <v>1</v>
      </c>
      <c r="B3" s="5" t="s">
        <v>21</v>
      </c>
      <c r="C3" s="6" t="s">
        <v>41</v>
      </c>
      <c r="D3" s="6">
        <v>0.45</v>
      </c>
      <c r="E3" s="6">
        <v>0.25</v>
      </c>
      <c r="F3" s="6">
        <v>0.3</v>
      </c>
      <c r="G3" s="6">
        <v>0.5</v>
      </c>
      <c r="H3" s="6">
        <v>4.2</v>
      </c>
      <c r="I3" s="6">
        <v>4</v>
      </c>
      <c r="J3" s="8">
        <v>5</v>
      </c>
      <c r="K3" s="8" t="s">
        <v>82</v>
      </c>
    </row>
    <row r="4" spans="1:11">
      <c r="A4" s="4">
        <v>2</v>
      </c>
      <c r="B4" s="5" t="s">
        <v>22</v>
      </c>
      <c r="C4" s="6" t="s">
        <v>43</v>
      </c>
      <c r="D4" s="6">
        <v>0.5</v>
      </c>
      <c r="E4" s="6">
        <v>0.35</v>
      </c>
      <c r="F4" s="6">
        <v>0.4</v>
      </c>
      <c r="G4" s="6">
        <v>1</v>
      </c>
      <c r="H4" s="6">
        <v>5.8</v>
      </c>
      <c r="I4" s="6">
        <v>5.7</v>
      </c>
      <c r="J4" s="8">
        <v>6.2</v>
      </c>
      <c r="K4" s="8" t="s">
        <v>83</v>
      </c>
    </row>
    <row r="5" spans="1:11">
      <c r="A5" s="4">
        <v>3</v>
      </c>
      <c r="B5" s="5" t="s">
        <v>23</v>
      </c>
      <c r="C5" s="6" t="s">
        <v>45</v>
      </c>
      <c r="D5" s="6">
        <v>0.25</v>
      </c>
      <c r="E5" s="6">
        <v>0.25</v>
      </c>
      <c r="F5" s="6">
        <v>0.3</v>
      </c>
      <c r="G5" s="6">
        <v>0.5</v>
      </c>
      <c r="H5" s="6">
        <v>5.8</v>
      </c>
      <c r="I5" s="6">
        <v>4.8</v>
      </c>
      <c r="J5" s="8">
        <v>5.8</v>
      </c>
      <c r="K5" s="8" t="s">
        <v>83</v>
      </c>
    </row>
    <row r="6" spans="1:11">
      <c r="A6" s="4">
        <v>4</v>
      </c>
      <c r="B6" s="5" t="s">
        <v>24</v>
      </c>
      <c r="C6" s="6" t="s">
        <v>47</v>
      </c>
      <c r="D6" s="6">
        <v>0.4</v>
      </c>
      <c r="E6" s="6">
        <v>0.25</v>
      </c>
      <c r="F6" s="6">
        <v>0.35</v>
      </c>
      <c r="G6" s="6">
        <v>1</v>
      </c>
      <c r="H6" s="6">
        <v>4.5</v>
      </c>
      <c r="I6" s="6">
        <v>4.7</v>
      </c>
      <c r="J6" s="8">
        <v>5.7</v>
      </c>
      <c r="K6" s="8" t="s">
        <v>83</v>
      </c>
    </row>
    <row r="7" spans="1:11">
      <c r="A7" s="4">
        <v>5</v>
      </c>
      <c r="B7" s="5" t="s">
        <v>25</v>
      </c>
      <c r="C7" s="6" t="s">
        <v>49</v>
      </c>
      <c r="D7" s="6">
        <v>0.45</v>
      </c>
      <c r="E7" s="6">
        <v>0.4</v>
      </c>
      <c r="F7" s="6">
        <v>0.35</v>
      </c>
      <c r="G7" s="6">
        <v>0.75</v>
      </c>
      <c r="H7" s="6">
        <v>5.5</v>
      </c>
      <c r="I7" s="6">
        <v>5.3</v>
      </c>
      <c r="J7" s="8">
        <v>5.6</v>
      </c>
      <c r="K7" s="8" t="s">
        <v>83</v>
      </c>
    </row>
    <row r="8" spans="1:11">
      <c r="A8" s="4">
        <v>7</v>
      </c>
      <c r="B8" s="5" t="s">
        <v>27</v>
      </c>
      <c r="C8" s="6" t="s">
        <v>53</v>
      </c>
      <c r="D8" s="6">
        <v>0.4</v>
      </c>
      <c r="E8" s="6">
        <v>0.4</v>
      </c>
      <c r="F8" s="6">
        <v>0.4</v>
      </c>
      <c r="G8" s="6">
        <v>1</v>
      </c>
      <c r="H8" s="6">
        <v>5.3</v>
      </c>
      <c r="I8" s="6">
        <v>5.4</v>
      </c>
      <c r="J8" s="8">
        <v>6.4</v>
      </c>
      <c r="K8" s="8" t="s">
        <v>83</v>
      </c>
    </row>
    <row r="9" spans="1:11">
      <c r="A9" s="4">
        <v>8</v>
      </c>
      <c r="B9" s="5" t="s">
        <v>28</v>
      </c>
      <c r="C9" s="6" t="s">
        <v>55</v>
      </c>
      <c r="D9" s="6">
        <v>0.45</v>
      </c>
      <c r="E9" s="6">
        <v>0.4</v>
      </c>
      <c r="F9" s="6">
        <v>0.45</v>
      </c>
      <c r="G9" s="6">
        <v>0</v>
      </c>
      <c r="H9" s="6">
        <v>6.8</v>
      </c>
      <c r="I9" s="6">
        <v>5.4</v>
      </c>
      <c r="J9" s="8">
        <v>0</v>
      </c>
      <c r="K9" s="8" t="s">
        <v>80</v>
      </c>
    </row>
    <row r="10" spans="1:11">
      <c r="A10" s="4">
        <v>9</v>
      </c>
      <c r="B10" s="5" t="s">
        <v>29</v>
      </c>
      <c r="C10" s="6" t="s">
        <v>57</v>
      </c>
      <c r="D10" s="6">
        <v>0.45</v>
      </c>
      <c r="E10" s="6">
        <v>0.4</v>
      </c>
      <c r="F10" s="6">
        <v>0.4</v>
      </c>
      <c r="G10" s="6">
        <v>0.75</v>
      </c>
      <c r="H10" s="6">
        <v>6.3</v>
      </c>
      <c r="I10" s="6">
        <v>5.8</v>
      </c>
      <c r="J10" s="8">
        <v>6.8</v>
      </c>
      <c r="K10" s="8" t="s">
        <v>84</v>
      </c>
    </row>
    <row r="11" spans="1:11">
      <c r="A11" s="4">
        <v>11</v>
      </c>
      <c r="B11" s="5" t="s">
        <v>31</v>
      </c>
      <c r="C11" s="6" t="s">
        <v>61</v>
      </c>
      <c r="D11" s="6">
        <v>0.4</v>
      </c>
      <c r="E11" s="6">
        <v>0.45</v>
      </c>
      <c r="F11" s="6">
        <v>0.4</v>
      </c>
      <c r="G11" s="6">
        <v>0.3</v>
      </c>
      <c r="H11" s="6">
        <v>-3</v>
      </c>
      <c r="I11" s="6">
        <v>0</v>
      </c>
      <c r="J11" s="8">
        <v>0</v>
      </c>
      <c r="K11" s="8" t="s">
        <v>80</v>
      </c>
    </row>
    <row r="12" spans="1:11">
      <c r="A12" s="4">
        <v>13</v>
      </c>
      <c r="B12" s="5" t="s">
        <v>33</v>
      </c>
      <c r="C12" s="6" t="s">
        <v>65</v>
      </c>
      <c r="D12" s="6">
        <v>0.4</v>
      </c>
      <c r="E12" s="6">
        <v>0.4</v>
      </c>
      <c r="F12" s="6">
        <v>0.35</v>
      </c>
      <c r="G12" s="6">
        <v>1.35</v>
      </c>
      <c r="H12" s="6">
        <v>-3</v>
      </c>
      <c r="I12" s="6">
        <v>0</v>
      </c>
      <c r="J12" s="8">
        <v>0</v>
      </c>
      <c r="K12" s="8" t="s">
        <v>80</v>
      </c>
    </row>
    <row r="13" spans="1:11">
      <c r="A13" s="4">
        <v>14</v>
      </c>
      <c r="B13" s="5" t="s">
        <v>34</v>
      </c>
      <c r="C13" s="6" t="s">
        <v>67</v>
      </c>
      <c r="D13" s="6">
        <v>0.35</v>
      </c>
      <c r="E13" s="6">
        <v>0.4</v>
      </c>
      <c r="F13" s="6">
        <v>0</v>
      </c>
      <c r="G13" s="6">
        <v>0.85</v>
      </c>
      <c r="H13" s="6">
        <v>6.5</v>
      </c>
      <c r="I13" s="6">
        <v>5.5</v>
      </c>
      <c r="J13" s="8">
        <v>6.5</v>
      </c>
      <c r="K13" s="8" t="s">
        <v>84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5"/>
  <sheetViews>
    <sheetView workbookViewId="0">
      <selection activeCell="L14" sqref="L14"/>
    </sheetView>
  </sheetViews>
  <sheetFormatPr defaultColWidth="9" defaultRowHeight="16.8" outlineLevelRow="4"/>
  <sheetData>
    <row r="2" ht="84" spans="1:11">
      <c r="A2" s="1" t="s">
        <v>10</v>
      </c>
      <c r="B2" s="2" t="s">
        <v>11</v>
      </c>
      <c r="C2" s="2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7" t="s">
        <v>18</v>
      </c>
      <c r="J2" s="3" t="s">
        <v>19</v>
      </c>
      <c r="K2" s="3" t="s">
        <v>20</v>
      </c>
    </row>
    <row r="3" spans="1:11">
      <c r="A3" s="4">
        <v>6</v>
      </c>
      <c r="B3" s="5" t="s">
        <v>26</v>
      </c>
      <c r="C3" s="6" t="s">
        <v>51</v>
      </c>
      <c r="D3" s="6">
        <v>0.4</v>
      </c>
      <c r="E3" s="6">
        <v>0.45</v>
      </c>
      <c r="F3" s="6">
        <v>0.5</v>
      </c>
      <c r="G3" s="6">
        <v>1.2</v>
      </c>
      <c r="H3" s="6">
        <v>7.5</v>
      </c>
      <c r="I3" s="6">
        <v>7.1</v>
      </c>
      <c r="J3" s="8">
        <v>8.1</v>
      </c>
      <c r="K3" s="8" t="s">
        <v>86</v>
      </c>
    </row>
    <row r="4" spans="1:11">
      <c r="A4" s="4">
        <v>10</v>
      </c>
      <c r="B4" s="5" t="s">
        <v>30</v>
      </c>
      <c r="C4" s="6" t="s">
        <v>59</v>
      </c>
      <c r="D4" s="6">
        <v>0.3</v>
      </c>
      <c r="E4" s="6">
        <v>0.5</v>
      </c>
      <c r="F4" s="6">
        <v>0.45</v>
      </c>
      <c r="G4" s="6">
        <v>0.3</v>
      </c>
      <c r="H4" s="6">
        <v>8.3</v>
      </c>
      <c r="I4" s="6">
        <v>6.5</v>
      </c>
      <c r="J4" s="8">
        <v>7</v>
      </c>
      <c r="K4" s="8" t="s">
        <v>85</v>
      </c>
    </row>
    <row r="5" spans="1:11">
      <c r="A5" s="4">
        <v>12</v>
      </c>
      <c r="B5" s="5" t="s">
        <v>32</v>
      </c>
      <c r="C5" s="6" t="s">
        <v>63</v>
      </c>
      <c r="D5" s="6">
        <v>0.5</v>
      </c>
      <c r="E5" s="6">
        <v>0.5</v>
      </c>
      <c r="F5" s="6">
        <v>0.45</v>
      </c>
      <c r="G5" s="6">
        <v>1.5</v>
      </c>
      <c r="H5" s="6">
        <v>7</v>
      </c>
      <c r="I5" s="6">
        <v>7.2</v>
      </c>
      <c r="J5" s="8">
        <v>7.5</v>
      </c>
      <c r="K5" s="8" t="s">
        <v>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Tonghopdiem</vt:lpstr>
      <vt:lpstr>Diemthuchanh</vt:lpstr>
      <vt:lpstr>baitaplon</vt:lpstr>
      <vt:lpstr>Diemlythuyet</vt:lpstr>
      <vt:lpstr>thamchieuvathongke</vt:lpstr>
      <vt:lpstr>Sinh viên điểm &lt; 7</vt:lpstr>
      <vt:lpstr>Sinh viên điểm &gt;= 7.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dcterms:created xsi:type="dcterms:W3CDTF">2026-09-18T07:17:00Z</dcterms:created>
  <dcterms:modified xsi:type="dcterms:W3CDTF">2026-09-23T17:21:06Z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4A5A2524328143099E5DAC5324118073_13</vt:lpwstr>
  </property>
  <property fmtid="{D5CDD505-2E9C-101B-9397-08002B2CF9AE}" pid="3" name="KSOProductBuildVer">
    <vt:lpwstr>2057-12.2.0.23206</vt:lpwstr>
  </property>
</Properties>
</file>