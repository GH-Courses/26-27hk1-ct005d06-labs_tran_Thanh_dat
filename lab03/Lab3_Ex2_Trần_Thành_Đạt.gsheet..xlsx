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“1. SV nganh CNTT”" sheetId="2" r:id="rId6"/>
    <sheet state="visible" name="“2. SV lop_DI18T9A1 mon NT_CNTT" sheetId="3" r:id="rId7"/>
    <sheet state="visible" name="“3. SV_Diem_D_F”" sheetId="4" r:id="rId8"/>
    <sheet state="visible" name="“4. SV dang ky hoc hon 1 mon”" sheetId="5" r:id="rId9"/>
  </sheets>
  <definedNames/>
  <calcPr/>
</workbook>
</file>

<file path=xl/sharedStrings.xml><?xml version="1.0" encoding="utf-8"?>
<sst xmlns="http://schemas.openxmlformats.org/spreadsheetml/2006/main" count="177" uniqueCount="104">
  <si>
    <t>MSSV</t>
  </si>
  <si>
    <t>Ho</t>
  </si>
  <si>
    <t>Ten</t>
  </si>
  <si>
    <t>Ten Lop</t>
  </si>
  <si>
    <t>Ma Nganh</t>
  </si>
  <si>
    <t xml:space="preserve">Ten </t>
  </si>
  <si>
    <t>MaMH</t>
  </si>
  <si>
    <t>TenMH</t>
  </si>
  <si>
    <t>Tin Chi</t>
  </si>
  <si>
    <t>Diem</t>
  </si>
  <si>
    <t>S1800005</t>
  </si>
  <si>
    <t>Le Duy</t>
  </si>
  <si>
    <t>Anh</t>
  </si>
  <si>
    <t>DI18V7A5</t>
  </si>
  <si>
    <t>Information
Technology</t>
  </si>
  <si>
    <t>CT179</t>
  </si>
  <si>
    <t>System
Administration</t>
  </si>
  <si>
    <t>B</t>
  </si>
  <si>
    <t>B1706575</t>
  </si>
  <si>
    <t>Pham
Hai</t>
  </si>
  <si>
    <t>Do</t>
  </si>
  <si>
    <t>DI19V7A2</t>
  </si>
  <si>
    <t>CT178</t>
  </si>
  <si>
    <t>Principles of
Operating
Systems</t>
  </si>
  <si>
    <t xml:space="preserve"> B</t>
  </si>
  <si>
    <t>B1706487</t>
  </si>
  <si>
    <t>Nguyen Tran</t>
  </si>
  <si>
    <t xml:space="preserve"> Le </t>
  </si>
  <si>
    <t>DI19V7A5</t>
  </si>
  <si>
    <t xml:space="preserve"> CT179</t>
  </si>
  <si>
    <t>C+</t>
  </si>
  <si>
    <t>B2000000</t>
  </si>
  <si>
    <t xml:space="preserve">Mai
Thanh </t>
  </si>
  <si>
    <t xml:space="preserve"> Dat </t>
  </si>
  <si>
    <t>F</t>
  </si>
  <si>
    <t>Mai
Thanh</t>
  </si>
  <si>
    <t xml:space="preserve">Dat </t>
  </si>
  <si>
    <t>C</t>
  </si>
  <si>
    <t>B1809110</t>
  </si>
  <si>
    <t>Thi</t>
  </si>
  <si>
    <t>Dui</t>
  </si>
  <si>
    <t>DI19V7A1</t>
  </si>
  <si>
    <t>B1809222</t>
  </si>
  <si>
    <t>Nguyen</t>
  </si>
  <si>
    <t xml:space="preserve"> Duy</t>
  </si>
  <si>
    <t>CT200</t>
  </si>
  <si>
    <t>Fundamentials
of Information
Technology</t>
  </si>
  <si>
    <t>B1706582</t>
  </si>
  <si>
    <t>Le
Trong</t>
  </si>
  <si>
    <t>Hieu</t>
  </si>
  <si>
    <t xml:space="preserve"> CT178</t>
  </si>
  <si>
    <t>B1809497</t>
  </si>
  <si>
    <t>Luong
Thi</t>
  </si>
  <si>
    <t xml:space="preserve"> Ni</t>
  </si>
  <si>
    <t>DI19V7A4</t>
  </si>
  <si>
    <t>B1809236</t>
  </si>
  <si>
    <t>Nguyen
Minh</t>
  </si>
  <si>
    <t>System
Administration</t>
  </si>
  <si>
    <t>D</t>
  </si>
  <si>
    <t>B1609816</t>
  </si>
  <si>
    <t>Phan
Thanh</t>
  </si>
  <si>
    <t xml:space="preserve"> Giang</t>
  </si>
  <si>
    <t>DI16Z6A2</t>
  </si>
  <si>
    <t>Computer
Science</t>
  </si>
  <si>
    <t xml:space="preserve"> B+</t>
  </si>
  <si>
    <t>B1208601</t>
  </si>
  <si>
    <t>Ho Thi
Hue</t>
  </si>
  <si>
    <t xml:space="preserve"> Chi</t>
  </si>
  <si>
    <t>DI12Z6A2</t>
  </si>
  <si>
    <t>B1505884</t>
  </si>
  <si>
    <t>Nguyen
Duc</t>
  </si>
  <si>
    <t xml:space="preserve"> Huy</t>
  </si>
  <si>
    <t>DI1596A2</t>
  </si>
  <si>
    <t>Software
Engineering</t>
  </si>
  <si>
    <t>B+</t>
  </si>
  <si>
    <t>B1807568</t>
  </si>
  <si>
    <t>Doan
Nhat</t>
  </si>
  <si>
    <t xml:space="preserve"> Linh</t>
  </si>
  <si>
    <t>DI18T9A1</t>
  </si>
  <si>
    <t>Computer
Networks And
Communication</t>
  </si>
  <si>
    <t>Fundamentials
of Information
Technology</t>
  </si>
  <si>
    <t>B1807555</t>
  </si>
  <si>
    <t>Nguyen
Trong</t>
  </si>
  <si>
    <t xml:space="preserve"> Hieu</t>
  </si>
  <si>
    <t>B1807569</t>
  </si>
  <si>
    <t>Nguyen
Van</t>
  </si>
  <si>
    <t>D+</t>
  </si>
  <si>
    <t>B1807554</t>
  </si>
  <si>
    <t>Dinh Ho
Trung</t>
  </si>
  <si>
    <t>Hau</t>
  </si>
  <si>
    <t>Computer
Networks And
Communication</t>
  </si>
  <si>
    <t>CT201</t>
  </si>
  <si>
    <t>CT202</t>
  </si>
  <si>
    <t xml:space="preserve"> Ho</t>
  </si>
  <si>
    <t xml:space="preserve">Mai Thanh </t>
  </si>
  <si>
    <t xml:space="preserve"> Dat</t>
  </si>
  <si>
    <t>System Administration</t>
  </si>
  <si>
    <t xml:space="preserve">Nguyen Minh </t>
  </si>
  <si>
    <t xml:space="preserve"> B1807555</t>
  </si>
  <si>
    <t>Nguyen Trong</t>
  </si>
  <si>
    <t>Computer Networks And Communication</t>
  </si>
  <si>
    <t>B20000000</t>
  </si>
  <si>
    <t>Dat</t>
  </si>
  <si>
    <t>Information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</si>
</sst>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center" readingOrder="0" vertical="center"/>
    </xf>
    <xf borderId="0" fillId="5" fontId="5" numFmtId="0" xfId="0" applyAlignment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7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>
        <v>7480201.0</v>
      </c>
      <c r="F2" s="4" t="s">
        <v>14</v>
      </c>
      <c r="G2" s="3" t="s">
        <v>15</v>
      </c>
      <c r="H2" s="4" t="s">
        <v>16</v>
      </c>
      <c r="I2" s="5">
        <v>2.0</v>
      </c>
      <c r="J2" s="5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>
        <v>7480201.0</v>
      </c>
      <c r="F3" s="4" t="s">
        <v>14</v>
      </c>
      <c r="G3" s="3" t="s">
        <v>22</v>
      </c>
      <c r="H3" s="4" t="s">
        <v>23</v>
      </c>
      <c r="I3" s="5">
        <v>3.0</v>
      </c>
      <c r="J3" s="5" t="s">
        <v>24</v>
      </c>
    </row>
    <row r="4">
      <c r="A4" s="3" t="s">
        <v>25</v>
      </c>
      <c r="B4" s="3" t="s">
        <v>26</v>
      </c>
      <c r="C4" s="3" t="s">
        <v>27</v>
      </c>
      <c r="D4" s="3" t="s">
        <v>28</v>
      </c>
      <c r="E4" s="3">
        <v>7480201.0</v>
      </c>
      <c r="F4" s="4" t="s">
        <v>14</v>
      </c>
      <c r="G4" s="3" t="s">
        <v>29</v>
      </c>
      <c r="H4" s="4" t="s">
        <v>16</v>
      </c>
      <c r="I4" s="5">
        <v>2.0</v>
      </c>
      <c r="J4" s="5" t="s">
        <v>30</v>
      </c>
    </row>
    <row r="5">
      <c r="A5" s="3" t="s">
        <v>31</v>
      </c>
      <c r="B5" s="3" t="s">
        <v>32</v>
      </c>
      <c r="C5" s="3" t="s">
        <v>33</v>
      </c>
      <c r="D5" s="3" t="s">
        <v>28</v>
      </c>
      <c r="E5" s="3">
        <v>7480201.0</v>
      </c>
      <c r="F5" s="4" t="s">
        <v>14</v>
      </c>
      <c r="G5" s="3" t="s">
        <v>29</v>
      </c>
      <c r="H5" s="4" t="s">
        <v>16</v>
      </c>
      <c r="I5" s="5">
        <v>2.0</v>
      </c>
      <c r="J5" s="5" t="s">
        <v>34</v>
      </c>
    </row>
    <row r="6">
      <c r="A6" s="3" t="s">
        <v>31</v>
      </c>
      <c r="B6" s="3" t="s">
        <v>35</v>
      </c>
      <c r="C6" s="3" t="s">
        <v>36</v>
      </c>
      <c r="D6" s="3" t="s">
        <v>28</v>
      </c>
      <c r="E6" s="3">
        <v>7480201.0</v>
      </c>
      <c r="F6" s="4" t="s">
        <v>14</v>
      </c>
      <c r="G6" s="3" t="s">
        <v>22</v>
      </c>
      <c r="H6" s="4" t="s">
        <v>23</v>
      </c>
      <c r="I6" s="5">
        <v>3.0</v>
      </c>
      <c r="J6" s="5" t="s">
        <v>37</v>
      </c>
    </row>
    <row r="7">
      <c r="A7" s="3" t="s">
        <v>38</v>
      </c>
      <c r="B7" s="3" t="s">
        <v>39</v>
      </c>
      <c r="C7" s="3" t="s">
        <v>40</v>
      </c>
      <c r="D7" s="3" t="s">
        <v>41</v>
      </c>
      <c r="E7" s="3">
        <v>7480201.0</v>
      </c>
      <c r="F7" s="4" t="s">
        <v>14</v>
      </c>
      <c r="G7" s="3" t="s">
        <v>29</v>
      </c>
      <c r="H7" s="4" t="s">
        <v>16</v>
      </c>
      <c r="I7" s="5">
        <v>2.0</v>
      </c>
      <c r="J7" s="5" t="s">
        <v>17</v>
      </c>
    </row>
    <row r="8">
      <c r="A8" s="3" t="s">
        <v>42</v>
      </c>
      <c r="B8" s="3" t="s">
        <v>43</v>
      </c>
      <c r="C8" s="3" t="s">
        <v>44</v>
      </c>
      <c r="D8" s="3" t="s">
        <v>21</v>
      </c>
      <c r="E8" s="3">
        <v>7480201.0</v>
      </c>
      <c r="F8" s="4" t="s">
        <v>14</v>
      </c>
      <c r="G8" s="3" t="s">
        <v>45</v>
      </c>
      <c r="H8" s="4" t="s">
        <v>46</v>
      </c>
      <c r="I8" s="5">
        <v>4.0</v>
      </c>
      <c r="J8" s="5" t="s">
        <v>17</v>
      </c>
    </row>
    <row r="9">
      <c r="A9" s="3" t="s">
        <v>47</v>
      </c>
      <c r="B9" s="3" t="s">
        <v>48</v>
      </c>
      <c r="C9" s="3" t="s">
        <v>49</v>
      </c>
      <c r="D9" s="3" t="s">
        <v>21</v>
      </c>
      <c r="E9" s="3">
        <v>7480201.0</v>
      </c>
      <c r="F9" s="4" t="s">
        <v>14</v>
      </c>
      <c r="G9" s="3" t="s">
        <v>50</v>
      </c>
      <c r="H9" s="4" t="s">
        <v>23</v>
      </c>
      <c r="I9" s="5">
        <v>3.0</v>
      </c>
      <c r="J9" s="5" t="s">
        <v>37</v>
      </c>
    </row>
    <row r="10">
      <c r="A10" s="3" t="s">
        <v>51</v>
      </c>
      <c r="B10" s="3" t="s">
        <v>52</v>
      </c>
      <c r="C10" s="3" t="s">
        <v>53</v>
      </c>
      <c r="D10" s="3" t="s">
        <v>54</v>
      </c>
      <c r="E10" s="3">
        <v>7480201.0</v>
      </c>
      <c r="F10" s="4" t="s">
        <v>14</v>
      </c>
      <c r="G10" s="3" t="s">
        <v>22</v>
      </c>
      <c r="H10" s="4" t="s">
        <v>23</v>
      </c>
      <c r="I10" s="5">
        <v>3.0</v>
      </c>
      <c r="J10" s="5" t="s">
        <v>30</v>
      </c>
    </row>
    <row r="11">
      <c r="A11" s="3" t="s">
        <v>55</v>
      </c>
      <c r="B11" s="3" t="s">
        <v>56</v>
      </c>
      <c r="C11" s="3" t="s">
        <v>49</v>
      </c>
      <c r="D11" s="3" t="s">
        <v>21</v>
      </c>
      <c r="E11" s="3">
        <v>7480201.0</v>
      </c>
      <c r="F11" s="4" t="s">
        <v>14</v>
      </c>
      <c r="G11" s="3" t="s">
        <v>29</v>
      </c>
      <c r="H11" s="4" t="s">
        <v>57</v>
      </c>
      <c r="I11" s="5">
        <v>2.0</v>
      </c>
      <c r="J11" s="5" t="s">
        <v>58</v>
      </c>
    </row>
    <row r="12">
      <c r="A12" s="3" t="s">
        <v>59</v>
      </c>
      <c r="B12" s="3" t="s">
        <v>60</v>
      </c>
      <c r="C12" s="3" t="s">
        <v>61</v>
      </c>
      <c r="D12" s="3" t="s">
        <v>62</v>
      </c>
      <c r="E12" s="3">
        <v>7480101.0</v>
      </c>
      <c r="F12" s="4" t="s">
        <v>63</v>
      </c>
      <c r="G12" s="3" t="s">
        <v>22</v>
      </c>
      <c r="H12" s="4" t="s">
        <v>23</v>
      </c>
      <c r="I12" s="5">
        <v>3.0</v>
      </c>
      <c r="J12" s="5" t="s">
        <v>64</v>
      </c>
    </row>
    <row r="13">
      <c r="A13" s="3" t="s">
        <v>65</v>
      </c>
      <c r="B13" s="3" t="s">
        <v>66</v>
      </c>
      <c r="C13" s="3" t="s">
        <v>67</v>
      </c>
      <c r="D13" s="3" t="s">
        <v>68</v>
      </c>
      <c r="E13" s="3">
        <v>7480101.0</v>
      </c>
      <c r="F13" s="4" t="s">
        <v>63</v>
      </c>
      <c r="G13" s="3" t="s">
        <v>15</v>
      </c>
      <c r="H13" s="4" t="s">
        <v>16</v>
      </c>
      <c r="I13" s="5">
        <v>2.0</v>
      </c>
      <c r="J13" s="5" t="s">
        <v>37</v>
      </c>
    </row>
    <row r="14">
      <c r="A14" s="3" t="s">
        <v>69</v>
      </c>
      <c r="B14" s="3" t="s">
        <v>70</v>
      </c>
      <c r="C14" s="3" t="s">
        <v>71</v>
      </c>
      <c r="D14" s="3" t="s">
        <v>72</v>
      </c>
      <c r="E14" s="3">
        <v>7480103.0</v>
      </c>
      <c r="F14" s="4" t="s">
        <v>73</v>
      </c>
      <c r="G14" s="3" t="s">
        <v>22</v>
      </c>
      <c r="H14" s="4" t="s">
        <v>23</v>
      </c>
      <c r="I14" s="5">
        <v>3.0</v>
      </c>
      <c r="J14" s="5" t="s">
        <v>74</v>
      </c>
    </row>
    <row r="15">
      <c r="A15" s="3" t="s">
        <v>75</v>
      </c>
      <c r="B15" s="3" t="s">
        <v>76</v>
      </c>
      <c r="C15" s="3" t="s">
        <v>77</v>
      </c>
      <c r="D15" s="3" t="s">
        <v>78</v>
      </c>
      <c r="E15" s="3">
        <v>7480102.0</v>
      </c>
      <c r="F15" s="4" t="s">
        <v>79</v>
      </c>
      <c r="G15" s="3" t="s">
        <v>45</v>
      </c>
      <c r="H15" s="4" t="s">
        <v>80</v>
      </c>
      <c r="I15" s="5">
        <v>4.0</v>
      </c>
      <c r="J15" s="5" t="s">
        <v>37</v>
      </c>
    </row>
    <row r="16">
      <c r="A16" s="3" t="s">
        <v>81</v>
      </c>
      <c r="B16" s="3" t="s">
        <v>82</v>
      </c>
      <c r="C16" s="3" t="s">
        <v>83</v>
      </c>
      <c r="D16" s="3" t="s">
        <v>78</v>
      </c>
      <c r="E16" s="3">
        <v>7480102.0</v>
      </c>
      <c r="F16" s="4" t="s">
        <v>79</v>
      </c>
      <c r="G16" s="3" t="s">
        <v>22</v>
      </c>
      <c r="H16" s="4" t="s">
        <v>23</v>
      </c>
      <c r="I16" s="5">
        <v>3.0</v>
      </c>
      <c r="J16" s="5" t="s">
        <v>30</v>
      </c>
    </row>
    <row r="17">
      <c r="A17" s="3" t="s">
        <v>84</v>
      </c>
      <c r="B17" s="3" t="s">
        <v>85</v>
      </c>
      <c r="C17" s="3" t="s">
        <v>77</v>
      </c>
      <c r="D17" s="3" t="s">
        <v>78</v>
      </c>
      <c r="E17" s="3">
        <v>7480102.0</v>
      </c>
      <c r="F17" s="4" t="s">
        <v>79</v>
      </c>
      <c r="G17" s="3" t="s">
        <v>45</v>
      </c>
      <c r="H17" s="4" t="s">
        <v>80</v>
      </c>
      <c r="I17" s="5">
        <v>4.0</v>
      </c>
      <c r="J17" s="5" t="s">
        <v>86</v>
      </c>
    </row>
    <row r="18">
      <c r="A18" s="3" t="s">
        <v>87</v>
      </c>
      <c r="B18" s="3" t="s">
        <v>88</v>
      </c>
      <c r="C18" s="3" t="s">
        <v>89</v>
      </c>
      <c r="D18" s="3" t="s">
        <v>78</v>
      </c>
      <c r="E18" s="3">
        <v>7480102.0</v>
      </c>
      <c r="F18" s="4" t="s">
        <v>90</v>
      </c>
      <c r="G18" s="3" t="s">
        <v>91</v>
      </c>
      <c r="H18" s="4" t="s">
        <v>80</v>
      </c>
      <c r="I18" s="5">
        <v>4.0</v>
      </c>
      <c r="J18" s="5" t="s">
        <v>37</v>
      </c>
    </row>
    <row r="19">
      <c r="A19" s="3" t="s">
        <v>81</v>
      </c>
      <c r="B19" s="3" t="s">
        <v>82</v>
      </c>
      <c r="C19" s="3" t="s">
        <v>49</v>
      </c>
      <c r="D19" s="3" t="s">
        <v>78</v>
      </c>
      <c r="E19" s="3">
        <v>7480102.0</v>
      </c>
      <c r="F19" s="4" t="s">
        <v>79</v>
      </c>
      <c r="G19" s="3" t="s">
        <v>92</v>
      </c>
      <c r="H19" s="4" t="s">
        <v>80</v>
      </c>
      <c r="I19" s="5">
        <v>4.0</v>
      </c>
      <c r="J19" s="5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</cols>
  <sheetData>
    <row r="1">
      <c r="A1" s="6" t="str">
        <f>IFERROR(__xludf.DUMMYFUNCTION("QUERY(Tong_hop!A1:J19,""SELECT A, B, C, F WHERE F = 'Information Technology'"",1)"),"MSSV")</f>
        <v>MSSV</v>
      </c>
      <c r="B1" s="6" t="str">
        <f>IFERROR(__xludf.DUMMYFUNCTION("""COMPUTED_VALUE"""),"Ho")</f>
        <v>Ho</v>
      </c>
      <c r="C1" s="6" t="str">
        <f>IFERROR(__xludf.DUMMYFUNCTION("""COMPUTED_VALUE"""),"Ten")</f>
        <v>Ten</v>
      </c>
      <c r="D1" s="6" t="str">
        <f>IFERROR(__xludf.DUMMYFUNCTION("""COMPUTED_VALUE"""),"Ten ")</f>
        <v>Ten </v>
      </c>
    </row>
    <row r="2" ht="30.0" customHeight="1">
      <c r="A2" s="7" t="str">
        <f>IFERROR(__xludf.DUMMYFUNCTION("QUERY(Tong_hop!A2:J20,""SELECT A, B, C, F WHERE F = 'Information Technology'"",1)"),"S1800005")</f>
        <v>S1800005</v>
      </c>
      <c r="B2" s="4" t="str">
        <f>IFERROR(__xludf.DUMMYFUNCTION("""COMPUTED_VALUE"""),"Le Duy")</f>
        <v>Le Duy</v>
      </c>
      <c r="C2" s="4" t="str">
        <f>IFERROR(__xludf.DUMMYFUNCTION("""COMPUTED_VALUE"""),"Anh")</f>
        <v>Anh</v>
      </c>
      <c r="D2" s="4" t="str">
        <f>IFERROR(__xludf.DUMMYFUNCTION("""COMPUTED_VALUE"""),"Information
Technology")</f>
        <v>Information
Technology</v>
      </c>
    </row>
    <row r="3">
      <c r="A3" s="7" t="str">
        <f>IFERROR(__xludf.DUMMYFUNCTION("QUERY(Tong_hop!A3:J21,""SELECT A, B, C, F WHERE F = 'Information Technology'"",1)"),"B1706575")</f>
        <v>B1706575</v>
      </c>
      <c r="B3" s="4" t="str">
        <f>IFERROR(__xludf.DUMMYFUNCTION("""COMPUTED_VALUE"""),"Pham
Hai")</f>
        <v>Pham
Hai</v>
      </c>
      <c r="C3" s="4" t="str">
        <f>IFERROR(__xludf.DUMMYFUNCTION("""COMPUTED_VALUE"""),"Do")</f>
        <v>Do</v>
      </c>
      <c r="D3" s="4" t="str">
        <f>IFERROR(__xludf.DUMMYFUNCTION("""COMPUTED_VALUE"""),"Information
Technology")</f>
        <v>Information
Technology</v>
      </c>
    </row>
    <row r="4">
      <c r="A4" s="7" t="str">
        <f>IFERROR(__xludf.DUMMYFUNCTION("QUERY(Tong_hop!A4:J22,""SELECT A, B, C, F WHERE F = 'Information Technology'"",1)"),"B1706487")</f>
        <v>B1706487</v>
      </c>
      <c r="B4" s="4" t="str">
        <f>IFERROR(__xludf.DUMMYFUNCTION("""COMPUTED_VALUE"""),"Nguyen Tran")</f>
        <v>Nguyen Tran</v>
      </c>
      <c r="C4" s="4" t="str">
        <f>IFERROR(__xludf.DUMMYFUNCTION("""COMPUTED_VALUE""")," Le ")</f>
        <v> Le </v>
      </c>
      <c r="D4" s="4" t="str">
        <f>IFERROR(__xludf.DUMMYFUNCTION("""COMPUTED_VALUE"""),"Information
Technology")</f>
        <v>Information
Technology</v>
      </c>
    </row>
    <row r="5">
      <c r="A5" s="7" t="str">
        <f>IFERROR(__xludf.DUMMYFUNCTION("QUERY(Tong_hop!A5:J23,""SELECT A, B, C, F WHERE F = 'Information Technology'"",1)"),"B2000000")</f>
        <v>B2000000</v>
      </c>
      <c r="B5" s="4" t="str">
        <f>IFERROR(__xludf.DUMMYFUNCTION("""COMPUTED_VALUE"""),"Mai
Thanh ")</f>
        <v>Mai
Thanh </v>
      </c>
      <c r="C5" s="4" t="str">
        <f>IFERROR(__xludf.DUMMYFUNCTION("""COMPUTED_VALUE""")," Dat ")</f>
        <v> Dat </v>
      </c>
      <c r="D5" s="4" t="str">
        <f>IFERROR(__xludf.DUMMYFUNCTION("""COMPUTED_VALUE"""),"Information
Technology")</f>
        <v>Information
Technology</v>
      </c>
    </row>
    <row r="6">
      <c r="A6" s="7" t="str">
        <f>IFERROR(__xludf.DUMMYFUNCTION("QUERY(Tong_hop!A7:J25,""SELECT A, B, C, F WHERE F = 'Information Technology'"",1)"),"B1809110")</f>
        <v>B1809110</v>
      </c>
      <c r="B6" s="4" t="str">
        <f>IFERROR(__xludf.DUMMYFUNCTION("""COMPUTED_VALUE"""),"Thi")</f>
        <v>Thi</v>
      </c>
      <c r="C6" s="4" t="str">
        <f>IFERROR(__xludf.DUMMYFUNCTION("""COMPUTED_VALUE"""),"Dui")</f>
        <v>Dui</v>
      </c>
      <c r="D6" s="4" t="str">
        <f>IFERROR(__xludf.DUMMYFUNCTION("""COMPUTED_VALUE"""),"Information
Technology")</f>
        <v>Information
Technology</v>
      </c>
    </row>
    <row r="7">
      <c r="A7" s="7" t="str">
        <f>IFERROR(__xludf.DUMMYFUNCTION("QUERY(Tong_hop!A8:J26,""SELECT A, B, C, F WHERE F = 'Information Technology'"",1)"),"B1809222")</f>
        <v>B1809222</v>
      </c>
      <c r="B7" s="4" t="str">
        <f>IFERROR(__xludf.DUMMYFUNCTION("""COMPUTED_VALUE"""),"Nguyen")</f>
        <v>Nguyen</v>
      </c>
      <c r="C7" s="4" t="str">
        <f>IFERROR(__xludf.DUMMYFUNCTION("""COMPUTED_VALUE""")," Duy")</f>
        <v> Duy</v>
      </c>
      <c r="D7" s="4" t="str">
        <f>IFERROR(__xludf.DUMMYFUNCTION("""COMPUTED_VALUE"""),"Information
Technology")</f>
        <v>Information
Technology</v>
      </c>
    </row>
    <row r="8">
      <c r="A8" s="7" t="str">
        <f>IFERROR(__xludf.DUMMYFUNCTION("QUERY(Tong_hop!A9:J27,""SELECT A, B, C, F WHERE F = 'Information Technology'"",1)"),"B1706582")</f>
        <v>B1706582</v>
      </c>
      <c r="B8" s="4" t="str">
        <f>IFERROR(__xludf.DUMMYFUNCTION("""COMPUTED_VALUE"""),"Le
Trong")</f>
        <v>Le
Trong</v>
      </c>
      <c r="C8" s="4" t="str">
        <f>IFERROR(__xludf.DUMMYFUNCTION("""COMPUTED_VALUE"""),"Hieu")</f>
        <v>Hieu</v>
      </c>
      <c r="D8" s="4" t="str">
        <f>IFERROR(__xludf.DUMMYFUNCTION("""COMPUTED_VALUE"""),"Information
Technology")</f>
        <v>Information
Technology</v>
      </c>
    </row>
    <row r="9">
      <c r="A9" s="7" t="str">
        <f>IFERROR(__xludf.DUMMYFUNCTION("QUERY(Tong_hop!A10:J28,""SELECT A, B, C, F WHERE F = 'Information Technology'"",1)"),"B1809497")</f>
        <v>B1809497</v>
      </c>
      <c r="B9" s="4" t="str">
        <f>IFERROR(__xludf.DUMMYFUNCTION("""COMPUTED_VALUE"""),"Luong
Thi")</f>
        <v>Luong
Thi</v>
      </c>
      <c r="C9" s="4" t="str">
        <f>IFERROR(__xludf.DUMMYFUNCTION("""COMPUTED_VALUE""")," Ni")</f>
        <v> Ni</v>
      </c>
      <c r="D9" s="4" t="str">
        <f>IFERROR(__xludf.DUMMYFUNCTION("""COMPUTED_VALUE"""),"Information
Technology")</f>
        <v>Information
Technology</v>
      </c>
    </row>
    <row r="10">
      <c r="A10" s="7" t="str">
        <f>IFERROR(__xludf.DUMMYFUNCTION("QUERY(Tong_hop!A11:J29,""SELECT A, B, C, F WHERE F = 'Information Technology'"",1)"),"B1809236")</f>
        <v>B1809236</v>
      </c>
      <c r="B10" s="4" t="str">
        <f>IFERROR(__xludf.DUMMYFUNCTION("""COMPUTED_VALUE"""),"Nguyen
Minh")</f>
        <v>Nguyen
Minh</v>
      </c>
      <c r="C10" s="4" t="str">
        <f>IFERROR(__xludf.DUMMYFUNCTION("""COMPUTED_VALUE"""),"Hieu")</f>
        <v>Hieu</v>
      </c>
      <c r="D10" s="4" t="str">
        <f>IFERROR(__xludf.DUMMYFUNCTION("""COMPUTED_VALUE"""),"Information
Technology")</f>
        <v>Information
Technology</v>
      </c>
    </row>
    <row r="15">
      <c r="B1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63"/>
  </cols>
  <sheetData>
    <row r="1" ht="24.0" customHeight="1">
      <c r="A1" s="9" t="s">
        <v>0</v>
      </c>
      <c r="B1" s="10" t="s">
        <v>93</v>
      </c>
      <c r="C1" s="10" t="s">
        <v>2</v>
      </c>
      <c r="D1" s="10" t="s">
        <v>3</v>
      </c>
      <c r="E1" s="10" t="s">
        <v>7</v>
      </c>
    </row>
    <row r="2" ht="41.25" customHeight="1">
      <c r="A2" s="11" t="str">
        <f>IFERROR(__xludf.DUMMYFUNCTION("QUERY(Tong_hop!A15:J19,""SELECT A, B, C, D, H WHERE D = 'DI18T9A1' AND H = 'Fundamentals of Information Technology'"",1)"),"B1807568")</f>
        <v>B1807568</v>
      </c>
      <c r="B2" s="4" t="str">
        <f>IFERROR(__xludf.DUMMYFUNCTION("""COMPUTED_VALUE"""),"Doan
Nhat")</f>
        <v>Doan
Nhat</v>
      </c>
      <c r="C2" s="4" t="str">
        <f>IFERROR(__xludf.DUMMYFUNCTION("""COMPUTED_VALUE""")," Linh")</f>
        <v> Linh</v>
      </c>
      <c r="D2" s="4" t="str">
        <f>IFERROR(__xludf.DUMMYFUNCTION("""COMPUTED_VALUE"""),"DI18T9A1")</f>
        <v>DI18T9A1</v>
      </c>
      <c r="E2" s="4" t="str">
        <f>IFERROR(__xludf.DUMMYFUNCTION("""COMPUTED_VALUE"""),"Fundamentials
of Information
Technology")</f>
        <v>Fundamentials
of Information
Technology</v>
      </c>
    </row>
    <row r="3" ht="44.25" customHeight="1">
      <c r="A3" s="11" t="str">
        <f>IFERROR(__xludf.DUMMYFUNCTION("QUERY(Tong_hop!A17:J21,""SELECT A, B, C, D, H WHERE D = 'DI18T9A1' AND H = 'Fundamentals of Information Technology'"",1)"),"B1807569")</f>
        <v>B1807569</v>
      </c>
      <c r="B3" s="4" t="str">
        <f>IFERROR(__xludf.DUMMYFUNCTION("""COMPUTED_VALUE"""),"Nguyen
Van")</f>
        <v>Nguyen
Van</v>
      </c>
      <c r="C3" s="4" t="str">
        <f>IFERROR(__xludf.DUMMYFUNCTION("""COMPUTED_VALUE""")," Linh")</f>
        <v> Linh</v>
      </c>
      <c r="D3" s="4" t="str">
        <f>IFERROR(__xludf.DUMMYFUNCTION("""COMPUTED_VALUE"""),"DI18T9A1")</f>
        <v>DI18T9A1</v>
      </c>
      <c r="E3" s="4" t="str">
        <f>IFERROR(__xludf.DUMMYFUNCTION("""COMPUTED_VALUE"""),"Fundamentials
of Information
Technology")</f>
        <v>Fundamentials
of Information
Technology</v>
      </c>
    </row>
    <row r="4" ht="45.0" customHeight="1">
      <c r="A4" s="11" t="str">
        <f>IFERROR(__xludf.DUMMYFUNCTION("QUERY(Tong_hop!A18:J22,""SELECT A, B, C, D, H WHERE D = 'DI18T9A1' AND H = 'Fundamentals of Information Technology'"",1)"),"B1807554")</f>
        <v>B1807554</v>
      </c>
      <c r="B4" s="4" t="str">
        <f>IFERROR(__xludf.DUMMYFUNCTION("""COMPUTED_VALUE"""),"Dinh Ho
Trung")</f>
        <v>Dinh Ho
Trung</v>
      </c>
      <c r="C4" s="4" t="str">
        <f>IFERROR(__xludf.DUMMYFUNCTION("""COMPUTED_VALUE"""),"Hau")</f>
        <v>Hau</v>
      </c>
      <c r="D4" s="4" t="str">
        <f>IFERROR(__xludf.DUMMYFUNCTION("""COMPUTED_VALUE"""),"DI18T9A1")</f>
        <v>DI18T9A1</v>
      </c>
      <c r="E4" s="4" t="str">
        <f>IFERROR(__xludf.DUMMYFUNCTION("""COMPUTED_VALUE"""),"Fundamentials
of Information
Technology")</f>
        <v>Fundamentials
of Information
Technology</v>
      </c>
    </row>
    <row r="5" ht="43.5" customHeight="1">
      <c r="A5" s="11" t="str">
        <f>IFERROR(__xludf.DUMMYFUNCTION("QUERY(Tong_hop!A19:J23,""SELECT A, B, C, D, H WHERE D = 'DI18T9A1' AND H = 'Fundamentals of Information Technology'"",1)"),"B1807555")</f>
        <v>B1807555</v>
      </c>
      <c r="B5" s="4" t="str">
        <f>IFERROR(__xludf.DUMMYFUNCTION("""COMPUTED_VALUE"""),"Nguyen
Trong")</f>
        <v>Nguyen
Trong</v>
      </c>
      <c r="C5" s="4" t="str">
        <f>IFERROR(__xludf.DUMMYFUNCTION("""COMPUTED_VALUE"""),"Hieu")</f>
        <v>Hieu</v>
      </c>
      <c r="D5" s="4" t="str">
        <f>IFERROR(__xludf.DUMMYFUNCTION("""COMPUTED_VALUE"""),"DI18T9A1")</f>
        <v>DI18T9A1</v>
      </c>
      <c r="E5" s="4" t="str">
        <f>IFERROR(__xludf.DUMMYFUNCTION("""COMPUTED_VALUE"""),"Fundamentials
of Information
Technology")</f>
        <v>Fundamentials
of Information
Technology</v>
      </c>
    </row>
    <row r="6" ht="16.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</cols>
  <sheetData>
    <row r="1">
      <c r="A1" s="12" t="str">
        <f>IFERROR(__xludf.DUMMYFUNCTION("QUERY(Tong_hop!A1:J19,""SELECT A, B, C, H, J WHERE H = 'System Administration' AND (J = 'D' OR J = 'F')"",1)"),"MSSV")</f>
        <v>MSSV</v>
      </c>
      <c r="B1" s="12" t="str">
        <f>IFERROR(__xludf.DUMMYFUNCTION("""COMPUTED_VALUE"""),"Ho")</f>
        <v>Ho</v>
      </c>
      <c r="C1" s="12" t="str">
        <f>IFERROR(__xludf.DUMMYFUNCTION("""COMPUTED_VALUE"""),"Ten")</f>
        <v>Ten</v>
      </c>
      <c r="D1" s="12" t="str">
        <f>IFERROR(__xludf.DUMMYFUNCTION("""COMPUTED_VALUE"""),"TenMH")</f>
        <v>TenMH</v>
      </c>
      <c r="E1" s="12" t="str">
        <f>IFERROR(__xludf.DUMMYFUNCTION("""COMPUTED_VALUE"""),"Diem")</f>
        <v>Diem</v>
      </c>
    </row>
    <row r="2">
      <c r="A2" s="11" t="s">
        <v>31</v>
      </c>
      <c r="B2" s="13" t="s">
        <v>94</v>
      </c>
      <c r="C2" s="13" t="s">
        <v>95</v>
      </c>
      <c r="D2" s="13" t="s">
        <v>96</v>
      </c>
      <c r="E2" s="13" t="s">
        <v>34</v>
      </c>
    </row>
    <row r="3">
      <c r="A3" s="11" t="s">
        <v>55</v>
      </c>
      <c r="B3" s="13" t="s">
        <v>97</v>
      </c>
      <c r="C3" s="13" t="s">
        <v>49</v>
      </c>
      <c r="D3" s="13" t="s">
        <v>96</v>
      </c>
      <c r="E3" s="13" t="s">
        <v>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25"/>
  </cols>
  <sheetData>
    <row r="1">
      <c r="A1" s="14" t="str">
        <f>IFERROR(__xludf.DUMMYFUNCTION("QUERY(QUERY(Tong_hop!A1:J19,""SELECT A, B, C, F, COUNT(H) WHERE H IS NOT NULL GROUP BY A, B, C, F LABEL A 'Mã SV', B 'Họ', C 'Tên', F 'Tên ngành', COUNT(H) 'Số môn học'"",1),""SELECT * WHERE Col5 &gt; 1"",1)"),"Mã SV")</f>
        <v>Mã SV</v>
      </c>
      <c r="B1" s="14" t="str">
        <f>IFERROR(__xludf.DUMMYFUNCTION("""COMPUTED_VALUE"""),"Họ")</f>
        <v>Họ</v>
      </c>
      <c r="C1" s="14" t="str">
        <f>IFERROR(__xludf.DUMMYFUNCTION("""COMPUTED_VALUE"""),"Tên")</f>
        <v>Tên</v>
      </c>
      <c r="D1" s="14" t="str">
        <f>IFERROR(__xludf.DUMMYFUNCTION("""COMPUTED_VALUE"""),"Tên ngành")</f>
        <v>Tên ngành</v>
      </c>
      <c r="E1" s="14" t="str">
        <f>IFERROR(__xludf.DUMMYFUNCTION("""COMPUTED_VALUE"""),"Số môn học")</f>
        <v>Số môn học</v>
      </c>
    </row>
    <row r="2" ht="19.5" customHeight="1">
      <c r="A2" s="13" t="s">
        <v>98</v>
      </c>
      <c r="B2" s="13" t="s">
        <v>99</v>
      </c>
      <c r="C2" s="13" t="s">
        <v>49</v>
      </c>
      <c r="D2" s="13" t="s">
        <v>100</v>
      </c>
      <c r="E2" s="5">
        <v>2.0</v>
      </c>
    </row>
    <row r="3">
      <c r="A3" s="13" t="s">
        <v>101</v>
      </c>
      <c r="B3" s="13" t="s">
        <v>94</v>
      </c>
      <c r="C3" s="13" t="s">
        <v>102</v>
      </c>
      <c r="D3" s="13" t="s">
        <v>103</v>
      </c>
      <c r="E3" s="5">
        <v>2.0</v>
      </c>
    </row>
  </sheetData>
  <drawing r:id="rId1"/>
</worksheet>
</file>